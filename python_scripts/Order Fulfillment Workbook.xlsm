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Idema\Desktop\GSM\Sample Savor\Order Fulfillment Program\"/>
    </mc:Choice>
  </mc:AlternateContent>
  <xr:revisionPtr revIDLastSave="0" documentId="13_ncr:1_{83352864-3C1B-4CE5-A853-A08BF346116F}" xr6:coauthVersionLast="45" xr6:coauthVersionMax="45" xr10:uidLastSave="{00000000-0000-0000-0000-000000000000}"/>
  <bookViews>
    <workbookView xWindow="-110" yWindow="-110" windowWidth="19420" windowHeight="10420" activeTab="6" xr2:uid="{00000000-000D-0000-FFFF-FFFF00000000}"/>
  </bookViews>
  <sheets>
    <sheet name="Rep Contact info" sheetId="3" r:id="rId1"/>
    <sheet name="States" sheetId="1" r:id="rId2"/>
    <sheet name="DataDrop" sheetId="2" state="hidden" r:id="rId3"/>
    <sheet name="Master Template" sheetId="4" r:id="rId4"/>
    <sheet name="8-27-2020" sheetId="7" r:id="rId5"/>
    <sheet name="8-28-2020" sheetId="8" r:id="rId6"/>
    <sheet name="11-30-2020" sheetId="9" r:id="rId7"/>
  </sheets>
  <definedNames>
    <definedName name="_xlnm._FilterDatabase" localSheetId="6" hidden="1">'11-30-2020'!$A$1:$BS$41</definedName>
    <definedName name="_xlnm._FilterDatabase" localSheetId="4" hidden="1">'8-27-2020'!$A$1:$BS$41</definedName>
    <definedName name="_xlnm._FilterDatabase" localSheetId="5" hidden="1">'8-28-2020'!$A$1:$BS$41</definedName>
    <definedName name="_xlnm._FilterDatabase" localSheetId="2" hidden="1">DataDrop!$A$1:$BS$41</definedName>
    <definedName name="_xlnm._FilterDatabase" localSheetId="3" hidden="1">'Master Template'!$A$1:$BS$41</definedName>
    <definedName name="_xlnm._FilterDatabase" localSheetId="0" hidden="1">'Rep Contact info'!$B$2:$D$2</definedName>
    <definedName name="_xlnm._FilterDatabase" localSheetId="1" hidden="1">States!$B$3:$AZ$3</definedName>
    <definedName name="Reps">'Rep Contact info'!$B$3:$B$400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41" i="9" l="1"/>
  <c r="BS41" i="9" s="1"/>
  <c r="BQ40" i="9"/>
  <c r="BR40" i="9" s="1"/>
  <c r="BQ39" i="9"/>
  <c r="BR39" i="9" s="1"/>
  <c r="BQ38" i="9"/>
  <c r="BS38" i="9" s="1"/>
  <c r="BQ37" i="9"/>
  <c r="BS37" i="9" s="1"/>
  <c r="BQ36" i="9"/>
  <c r="BR36" i="9" s="1"/>
  <c r="BQ35" i="9"/>
  <c r="BS35" i="9" s="1"/>
  <c r="BQ34" i="9"/>
  <c r="BS34" i="9" s="1"/>
  <c r="BQ33" i="9"/>
  <c r="BS33" i="9" s="1"/>
  <c r="BQ32" i="9"/>
  <c r="BR32" i="9" s="1"/>
  <c r="BQ31" i="9"/>
  <c r="BR31" i="9" s="1"/>
  <c r="BQ30" i="9"/>
  <c r="BS30" i="9" s="1"/>
  <c r="BQ29" i="9"/>
  <c r="BS29" i="9" s="1"/>
  <c r="BQ28" i="9"/>
  <c r="BR28" i="9" s="1"/>
  <c r="BQ27" i="9"/>
  <c r="BS27" i="9" s="1"/>
  <c r="BQ26" i="9"/>
  <c r="BS26" i="9" s="1"/>
  <c r="BQ25" i="9"/>
  <c r="BS25" i="9" s="1"/>
  <c r="BQ24" i="9"/>
  <c r="BR24" i="9" s="1"/>
  <c r="BQ23" i="9"/>
  <c r="BS23" i="9" s="1"/>
  <c r="BQ22" i="9"/>
  <c r="BS22" i="9" s="1"/>
  <c r="BQ21" i="9"/>
  <c r="BS21" i="9" s="1"/>
  <c r="BQ20" i="9"/>
  <c r="BR20" i="9" s="1"/>
  <c r="BS19" i="9"/>
  <c r="BR19" i="9"/>
  <c r="BQ19" i="9"/>
  <c r="BQ18" i="9"/>
  <c r="BS18" i="9" s="1"/>
  <c r="BQ17" i="9"/>
  <c r="BS17" i="9" s="1"/>
  <c r="BS16" i="9"/>
  <c r="BQ16" i="9"/>
  <c r="BR16" i="9" s="1"/>
  <c r="BQ15" i="9"/>
  <c r="BR15" i="9" s="1"/>
  <c r="BQ14" i="9"/>
  <c r="BR14" i="9" s="1"/>
  <c r="BQ13" i="9"/>
  <c r="BS13" i="9" s="1"/>
  <c r="BQ12" i="9"/>
  <c r="BR12" i="9" s="1"/>
  <c r="BQ11" i="9"/>
  <c r="BS11" i="9" s="1"/>
  <c r="BQ10" i="9"/>
  <c r="BS10" i="9" s="1"/>
  <c r="BQ9" i="9"/>
  <c r="BS9" i="9" s="1"/>
  <c r="BQ8" i="9"/>
  <c r="BR8" i="9" s="1"/>
  <c r="BQ7" i="9"/>
  <c r="BR7" i="9" s="1"/>
  <c r="BQ6" i="9"/>
  <c r="BR6" i="9" s="1"/>
  <c r="BQ5" i="9"/>
  <c r="BS5" i="9" s="1"/>
  <c r="BQ4" i="9"/>
  <c r="BR4" i="9" s="1"/>
  <c r="BQ3" i="9"/>
  <c r="BS3" i="9" s="1"/>
  <c r="BQ2" i="9"/>
  <c r="BS2" i="9" s="1"/>
  <c r="BS32" i="9" l="1"/>
  <c r="BR35" i="9"/>
  <c r="BS7" i="9"/>
  <c r="BS24" i="9"/>
  <c r="BR27" i="9"/>
  <c r="BS8" i="9"/>
  <c r="BR11" i="9"/>
  <c r="BS31" i="9"/>
  <c r="BS15" i="9"/>
  <c r="BS4" i="9"/>
  <c r="BS20" i="9"/>
  <c r="BR23" i="9"/>
  <c r="BS36" i="9"/>
  <c r="BS39" i="9"/>
  <c r="BS12" i="9"/>
  <c r="BS28" i="9"/>
  <c r="BR3" i="9"/>
  <c r="BS40" i="9"/>
  <c r="BR18" i="9"/>
  <c r="BR22" i="9"/>
  <c r="BR26" i="9"/>
  <c r="BR30" i="9"/>
  <c r="BR34" i="9"/>
  <c r="BR38" i="9"/>
  <c r="BR2" i="9"/>
  <c r="BR10" i="9"/>
  <c r="BR5" i="9"/>
  <c r="BS6" i="9"/>
  <c r="BR13" i="9"/>
  <c r="BS14" i="9"/>
  <c r="BR17" i="9"/>
  <c r="BR21" i="9"/>
  <c r="BR25" i="9"/>
  <c r="BR29" i="9"/>
  <c r="BR33" i="9"/>
  <c r="BR37" i="9"/>
  <c r="BR41" i="9"/>
  <c r="BR9" i="9"/>
  <c r="BQ41" i="8"/>
  <c r="BS41" i="8" s="1"/>
  <c r="BQ40" i="8"/>
  <c r="BR40" i="8" s="1"/>
  <c r="BQ39" i="8"/>
  <c r="BS39" i="8" s="1"/>
  <c r="BQ38" i="8"/>
  <c r="BS38" i="8" s="1"/>
  <c r="BQ37" i="8"/>
  <c r="BS37" i="8" s="1"/>
  <c r="BQ36" i="8"/>
  <c r="BR36" i="8" s="1"/>
  <c r="BQ35" i="8"/>
  <c r="BS35" i="8" s="1"/>
  <c r="BQ34" i="8"/>
  <c r="BS34" i="8" s="1"/>
  <c r="BQ33" i="8"/>
  <c r="BS33" i="8" s="1"/>
  <c r="BQ32" i="8"/>
  <c r="BR32" i="8" s="1"/>
  <c r="BQ31" i="8"/>
  <c r="BS31" i="8" s="1"/>
  <c r="BQ30" i="8"/>
  <c r="BS30" i="8" s="1"/>
  <c r="BQ29" i="8"/>
  <c r="BS29" i="8" s="1"/>
  <c r="BQ28" i="8"/>
  <c r="BR28" i="8" s="1"/>
  <c r="BQ27" i="8"/>
  <c r="BR27" i="8" s="1"/>
  <c r="BQ26" i="8"/>
  <c r="BS26" i="8" s="1"/>
  <c r="BQ25" i="8"/>
  <c r="BS25" i="8" s="1"/>
  <c r="BQ24" i="8"/>
  <c r="BR24" i="8" s="1"/>
  <c r="BQ23" i="8"/>
  <c r="BR23" i="8" s="1"/>
  <c r="BQ22" i="8"/>
  <c r="BS22" i="8" s="1"/>
  <c r="BQ21" i="8"/>
  <c r="BS21" i="8" s="1"/>
  <c r="BQ20" i="8"/>
  <c r="BR20" i="8" s="1"/>
  <c r="BQ19" i="8"/>
  <c r="BS19" i="8" s="1"/>
  <c r="BQ18" i="8"/>
  <c r="BS18" i="8" s="1"/>
  <c r="BQ17" i="8"/>
  <c r="BS17" i="8" s="1"/>
  <c r="BQ16" i="8"/>
  <c r="BR16" i="8" s="1"/>
  <c r="BQ15" i="8"/>
  <c r="BR15" i="8" s="1"/>
  <c r="BQ14" i="8"/>
  <c r="BS14" i="8" s="1"/>
  <c r="BQ13" i="8"/>
  <c r="BS13" i="8" s="1"/>
  <c r="BQ12" i="8"/>
  <c r="BR12" i="8" s="1"/>
  <c r="BQ11" i="8"/>
  <c r="BS11" i="8" s="1"/>
  <c r="BQ10" i="8"/>
  <c r="BS10" i="8" s="1"/>
  <c r="BQ9" i="8"/>
  <c r="BS9" i="8" s="1"/>
  <c r="BQ8" i="8"/>
  <c r="BR8" i="8" s="1"/>
  <c r="BQ7" i="8"/>
  <c r="BS7" i="8" s="1"/>
  <c r="BQ6" i="8"/>
  <c r="BS6" i="8" s="1"/>
  <c r="BQ5" i="8"/>
  <c r="BS5" i="8" s="1"/>
  <c r="BQ4" i="8"/>
  <c r="BR4" i="8" s="1"/>
  <c r="BQ3" i="8"/>
  <c r="BR3" i="8" s="1"/>
  <c r="BQ2" i="8"/>
  <c r="BS2" i="8" s="1"/>
  <c r="BS36" i="8" l="1"/>
  <c r="BR39" i="8"/>
  <c r="BS27" i="8"/>
  <c r="BR35" i="8"/>
  <c r="BS32" i="8"/>
  <c r="BS24" i="8"/>
  <c r="BS23" i="8"/>
  <c r="BS28" i="8"/>
  <c r="BR31" i="8"/>
  <c r="BS15" i="8"/>
  <c r="BS40" i="8"/>
  <c r="BS3" i="8"/>
  <c r="BS8" i="8"/>
  <c r="BR11" i="8"/>
  <c r="BS4" i="8"/>
  <c r="BR7" i="8"/>
  <c r="BS16" i="8"/>
  <c r="BR19" i="8"/>
  <c r="BS12" i="8"/>
  <c r="BS20" i="8"/>
  <c r="BR10" i="8"/>
  <c r="BR14" i="8"/>
  <c r="BR18" i="8"/>
  <c r="BR22" i="8"/>
  <c r="BR26" i="8"/>
  <c r="BR30" i="8"/>
  <c r="BR34" i="8"/>
  <c r="BR38" i="8"/>
  <c r="BR41" i="8"/>
  <c r="BR2" i="8"/>
  <c r="BR6" i="8"/>
  <c r="BR5" i="8"/>
  <c r="BR9" i="8"/>
  <c r="BR13" i="8"/>
  <c r="BR17" i="8"/>
  <c r="BR21" i="8"/>
  <c r="BR25" i="8"/>
  <c r="BR29" i="8"/>
  <c r="BR33" i="8"/>
  <c r="BR37" i="8"/>
  <c r="BQ41" i="7"/>
  <c r="BS41" i="7" s="1"/>
  <c r="BQ40" i="7"/>
  <c r="BR40" i="7" s="1"/>
  <c r="BQ39" i="7"/>
  <c r="BS39" i="7" s="1"/>
  <c r="BQ38" i="7"/>
  <c r="BS38" i="7" s="1"/>
  <c r="BQ37" i="7"/>
  <c r="BS37" i="7" s="1"/>
  <c r="BQ36" i="7"/>
  <c r="BR36" i="7" s="1"/>
  <c r="BQ35" i="7"/>
  <c r="BS35" i="7" s="1"/>
  <c r="BQ34" i="7"/>
  <c r="BR34" i="7" s="1"/>
  <c r="BQ33" i="7"/>
  <c r="BS33" i="7" s="1"/>
  <c r="BQ32" i="7"/>
  <c r="BR32" i="7" s="1"/>
  <c r="BQ31" i="7"/>
  <c r="BS31" i="7" s="1"/>
  <c r="BQ30" i="7"/>
  <c r="BS30" i="7" s="1"/>
  <c r="BQ29" i="7"/>
  <c r="BS29" i="7" s="1"/>
  <c r="BQ28" i="7"/>
  <c r="BR28" i="7" s="1"/>
  <c r="BQ27" i="7"/>
  <c r="BS27" i="7" s="1"/>
  <c r="BQ26" i="7"/>
  <c r="BS26" i="7" s="1"/>
  <c r="BQ25" i="7"/>
  <c r="BS25" i="7" s="1"/>
  <c r="BQ24" i="7"/>
  <c r="BR24" i="7" s="1"/>
  <c r="BQ23" i="7"/>
  <c r="BS23" i="7" s="1"/>
  <c r="BQ22" i="7"/>
  <c r="BR22" i="7" s="1"/>
  <c r="BQ21" i="7"/>
  <c r="BS21" i="7" s="1"/>
  <c r="BQ20" i="7"/>
  <c r="BR20" i="7" s="1"/>
  <c r="BQ19" i="7"/>
  <c r="BS19" i="7" s="1"/>
  <c r="BQ18" i="7"/>
  <c r="BS18" i="7" s="1"/>
  <c r="BQ17" i="7"/>
  <c r="BS17" i="7" s="1"/>
  <c r="BQ16" i="7"/>
  <c r="BR16" i="7" s="1"/>
  <c r="BQ15" i="7"/>
  <c r="BS15" i="7" s="1"/>
  <c r="BQ14" i="7"/>
  <c r="BS14" i="7" s="1"/>
  <c r="BQ13" i="7"/>
  <c r="BS13" i="7" s="1"/>
  <c r="BQ12" i="7"/>
  <c r="BR12" i="7" s="1"/>
  <c r="BQ11" i="7"/>
  <c r="BR11" i="7" s="1"/>
  <c r="BQ10" i="7"/>
  <c r="BR10" i="7" s="1"/>
  <c r="BQ9" i="7"/>
  <c r="BS9" i="7" s="1"/>
  <c r="BQ8" i="7"/>
  <c r="BR8" i="7" s="1"/>
  <c r="BQ7" i="7"/>
  <c r="BS7" i="7" s="1"/>
  <c r="BQ6" i="7"/>
  <c r="BR6" i="7" s="1"/>
  <c r="BQ5" i="7"/>
  <c r="BS5" i="7" s="1"/>
  <c r="BQ4" i="7"/>
  <c r="BR4" i="7" s="1"/>
  <c r="BQ3" i="7"/>
  <c r="BS3" i="7" s="1"/>
  <c r="BQ2" i="7"/>
  <c r="BS2" i="7" s="1"/>
  <c r="BQ41" i="4"/>
  <c r="BS41" i="4" s="1"/>
  <c r="BQ40" i="4"/>
  <c r="BR40" i="4" s="1"/>
  <c r="BQ39" i="4"/>
  <c r="BR39" i="4" s="1"/>
  <c r="BQ38" i="4"/>
  <c r="BS38" i="4" s="1"/>
  <c r="BQ37" i="4"/>
  <c r="BS37" i="4" s="1"/>
  <c r="BQ36" i="4"/>
  <c r="BR36" i="4" s="1"/>
  <c r="BQ35" i="4"/>
  <c r="BS35" i="4" s="1"/>
  <c r="BQ34" i="4"/>
  <c r="BS34" i="4" s="1"/>
  <c r="BQ33" i="4"/>
  <c r="BS33" i="4" s="1"/>
  <c r="BQ32" i="4"/>
  <c r="BR32" i="4" s="1"/>
  <c r="BQ31" i="4"/>
  <c r="BS31" i="4" s="1"/>
  <c r="BQ30" i="4"/>
  <c r="BS30" i="4" s="1"/>
  <c r="BQ29" i="4"/>
  <c r="BS29" i="4" s="1"/>
  <c r="BQ28" i="4"/>
  <c r="BR28" i="4" s="1"/>
  <c r="BQ27" i="4"/>
  <c r="BR27" i="4" s="1"/>
  <c r="BQ26" i="4"/>
  <c r="BS26" i="4" s="1"/>
  <c r="BQ25" i="4"/>
  <c r="BS25" i="4" s="1"/>
  <c r="BQ24" i="4"/>
  <c r="BR24" i="4" s="1"/>
  <c r="BQ23" i="4"/>
  <c r="BS23" i="4" s="1"/>
  <c r="BQ22" i="4"/>
  <c r="BR22" i="4" s="1"/>
  <c r="BQ21" i="4"/>
  <c r="BS21" i="4" s="1"/>
  <c r="BQ20" i="4"/>
  <c r="BR20" i="4" s="1"/>
  <c r="BQ19" i="4"/>
  <c r="BS19" i="4" s="1"/>
  <c r="BQ18" i="4"/>
  <c r="BS18" i="4" s="1"/>
  <c r="BQ17" i="4"/>
  <c r="BS17" i="4" s="1"/>
  <c r="BQ16" i="4"/>
  <c r="BR16" i="4" s="1"/>
  <c r="BQ15" i="4"/>
  <c r="BS15" i="4" s="1"/>
  <c r="BQ14" i="4"/>
  <c r="BS14" i="4" s="1"/>
  <c r="BQ13" i="4"/>
  <c r="BS13" i="4" s="1"/>
  <c r="BQ12" i="4"/>
  <c r="BR12" i="4" s="1"/>
  <c r="BQ11" i="4"/>
  <c r="BS11" i="4" s="1"/>
  <c r="BQ10" i="4"/>
  <c r="BS10" i="4" s="1"/>
  <c r="BQ9" i="4"/>
  <c r="BS9" i="4" s="1"/>
  <c r="BQ8" i="4"/>
  <c r="BR8" i="4" s="1"/>
  <c r="BQ7" i="4"/>
  <c r="BS7" i="4" s="1"/>
  <c r="BQ6" i="4"/>
  <c r="BS6" i="4" s="1"/>
  <c r="BQ5" i="4"/>
  <c r="BS5" i="4" s="1"/>
  <c r="BQ4" i="4"/>
  <c r="BR4" i="4" s="1"/>
  <c r="BQ3" i="4"/>
  <c r="BS3" i="4" s="1"/>
  <c r="BQ2" i="4"/>
  <c r="BR2" i="4" s="1"/>
  <c r="BQ41" i="2"/>
  <c r="BR41" i="2" s="1"/>
  <c r="BQ40" i="2"/>
  <c r="BS40" i="2" s="1"/>
  <c r="BQ39" i="2"/>
  <c r="BS39" i="2" s="1"/>
  <c r="BQ38" i="2"/>
  <c r="BS38" i="2" s="1"/>
  <c r="BQ37" i="2"/>
  <c r="BR37" i="2" s="1"/>
  <c r="BQ36" i="2"/>
  <c r="BS36" i="2" s="1"/>
  <c r="BQ35" i="2"/>
  <c r="BS35" i="2" s="1"/>
  <c r="BQ34" i="2"/>
  <c r="BS34" i="2" s="1"/>
  <c r="BQ33" i="2"/>
  <c r="BR33" i="2" s="1"/>
  <c r="BQ32" i="2"/>
  <c r="BS32" i="2" s="1"/>
  <c r="BQ31" i="2"/>
  <c r="BS31" i="2" s="1"/>
  <c r="BQ30" i="2"/>
  <c r="BS30" i="2" s="1"/>
  <c r="BQ29" i="2"/>
  <c r="BR29" i="2" s="1"/>
  <c r="BQ28" i="2"/>
  <c r="BR28" i="2" s="1"/>
  <c r="BQ27" i="2"/>
  <c r="BR27" i="2" s="1"/>
  <c r="BQ26" i="2"/>
  <c r="BS26" i="2" s="1"/>
  <c r="BQ25" i="2"/>
  <c r="BR25" i="2" s="1"/>
  <c r="BQ24" i="2"/>
  <c r="BS24" i="2" s="1"/>
  <c r="BQ23" i="2"/>
  <c r="BR23" i="2" s="1"/>
  <c r="BQ22" i="2"/>
  <c r="BS22" i="2" s="1"/>
  <c r="BQ21" i="2"/>
  <c r="BR21" i="2" s="1"/>
  <c r="BQ20" i="2"/>
  <c r="BR20" i="2" s="1"/>
  <c r="BQ19" i="2"/>
  <c r="BS19" i="2" s="1"/>
  <c r="BQ18" i="2"/>
  <c r="BS18" i="2" s="1"/>
  <c r="BQ17" i="2"/>
  <c r="BR17" i="2" s="1"/>
  <c r="BQ16" i="2"/>
  <c r="BS16" i="2" s="1"/>
  <c r="BQ15" i="2"/>
  <c r="BS15" i="2" s="1"/>
  <c r="BQ14" i="2"/>
  <c r="BS14" i="2" s="1"/>
  <c r="BQ13" i="2"/>
  <c r="BR13" i="2" s="1"/>
  <c r="BQ12" i="2"/>
  <c r="BS12" i="2" s="1"/>
  <c r="BQ11" i="2"/>
  <c r="BR11" i="2" s="1"/>
  <c r="BQ10" i="2"/>
  <c r="BS10" i="2" s="1"/>
  <c r="BQ9" i="2"/>
  <c r="BR9" i="2" s="1"/>
  <c r="BQ8" i="2"/>
  <c r="BS8" i="2" s="1"/>
  <c r="BQ7" i="2"/>
  <c r="BS7" i="2" s="1"/>
  <c r="BQ6" i="2"/>
  <c r="BS6" i="2" s="1"/>
  <c r="BQ5" i="2"/>
  <c r="BR5" i="2" s="1"/>
  <c r="BQ4" i="2"/>
  <c r="BR4" i="2" s="1"/>
  <c r="BQ3" i="2"/>
  <c r="BS3" i="2" s="1"/>
  <c r="BQ2" i="2"/>
  <c r="BR2" i="2" s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AZ5" i="1"/>
  <c r="AY5" i="1"/>
  <c r="AX5" i="1"/>
  <c r="AW5" i="1"/>
  <c r="AV5" i="1"/>
  <c r="AU5" i="1"/>
  <c r="AT5" i="1"/>
  <c r="AS5" i="1"/>
  <c r="AR5" i="1"/>
  <c r="AQ5" i="1"/>
  <c r="AP5" i="1"/>
  <c r="AO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W5" i="1"/>
  <c r="V5" i="1"/>
  <c r="U5" i="1"/>
  <c r="T5" i="1"/>
  <c r="S5" i="1"/>
  <c r="R5" i="1"/>
  <c r="Q5" i="1"/>
  <c r="P5" i="1"/>
  <c r="N5" i="1"/>
  <c r="M5" i="1"/>
  <c r="L5" i="1"/>
  <c r="K5" i="1"/>
  <c r="J5" i="1"/>
  <c r="I5" i="1"/>
  <c r="H5" i="1"/>
  <c r="G5" i="1"/>
  <c r="F5" i="1"/>
  <c r="E5" i="1"/>
  <c r="D5" i="1"/>
  <c r="C5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BS16" i="4" l="1"/>
  <c r="BR19" i="4"/>
  <c r="BR23" i="7"/>
  <c r="BR3" i="4"/>
  <c r="BS27" i="4"/>
  <c r="BS39" i="4"/>
  <c r="BS32" i="7"/>
  <c r="BR39" i="7"/>
  <c r="BS36" i="4"/>
  <c r="BS36" i="7"/>
  <c r="BR35" i="7"/>
  <c r="BS20" i="7"/>
  <c r="BR19" i="7"/>
  <c r="BS16" i="7"/>
  <c r="BS11" i="7"/>
  <c r="BR7" i="7"/>
  <c r="BS4" i="7"/>
  <c r="BR3" i="7"/>
  <c r="BS8" i="4"/>
  <c r="BR11" i="4"/>
  <c r="BS4" i="4"/>
  <c r="BR7" i="4"/>
  <c r="BS20" i="4"/>
  <c r="BR23" i="4"/>
  <c r="BS32" i="4"/>
  <c r="BR35" i="4"/>
  <c r="BS12" i="7"/>
  <c r="BR15" i="7"/>
  <c r="BS28" i="7"/>
  <c r="BR31" i="7"/>
  <c r="BS8" i="7"/>
  <c r="BS24" i="7"/>
  <c r="BR27" i="7"/>
  <c r="BS40" i="7"/>
  <c r="BR2" i="7"/>
  <c r="BR14" i="7"/>
  <c r="BR18" i="7"/>
  <c r="BR26" i="7"/>
  <c r="BR30" i="7"/>
  <c r="BR38" i="7"/>
  <c r="BR5" i="7"/>
  <c r="BS6" i="7"/>
  <c r="BR9" i="7"/>
  <c r="BS10" i="7"/>
  <c r="BR13" i="7"/>
  <c r="BR17" i="7"/>
  <c r="BR21" i="7"/>
  <c r="BS22" i="7"/>
  <c r="BR25" i="7"/>
  <c r="BR29" i="7"/>
  <c r="BR33" i="7"/>
  <c r="BS34" i="7"/>
  <c r="BR37" i="7"/>
  <c r="BR41" i="7"/>
  <c r="BS12" i="4"/>
  <c r="BR15" i="4"/>
  <c r="BS28" i="4"/>
  <c r="BR31" i="4"/>
  <c r="BS24" i="4"/>
  <c r="BS40" i="4"/>
  <c r="BR10" i="4"/>
  <c r="BR18" i="4"/>
  <c r="BR30" i="4"/>
  <c r="BR34" i="4"/>
  <c r="BR6" i="4"/>
  <c r="BR14" i="4"/>
  <c r="BR26" i="4"/>
  <c r="BR38" i="4"/>
  <c r="BS2" i="4"/>
  <c r="BR5" i="4"/>
  <c r="BR9" i="4"/>
  <c r="BR13" i="4"/>
  <c r="BR17" i="4"/>
  <c r="BR21" i="4"/>
  <c r="BS22" i="4"/>
  <c r="BR25" i="4"/>
  <c r="BR29" i="4"/>
  <c r="BR33" i="4"/>
  <c r="BR37" i="4"/>
  <c r="BR41" i="4"/>
  <c r="BS21" i="2"/>
  <c r="BR24" i="2"/>
  <c r="BS9" i="2"/>
  <c r="BR12" i="2"/>
  <c r="BS28" i="2"/>
  <c r="BS5" i="2"/>
  <c r="BR8" i="2"/>
  <c r="BS37" i="2"/>
  <c r="BR40" i="2"/>
  <c r="BS25" i="2"/>
  <c r="BS33" i="2"/>
  <c r="BR36" i="2"/>
  <c r="BS2" i="2"/>
  <c r="BS4" i="2"/>
  <c r="BS13" i="2"/>
  <c r="BR16" i="2"/>
  <c r="BS20" i="2"/>
  <c r="BS29" i="2"/>
  <c r="BR32" i="2"/>
  <c r="BS17" i="2"/>
  <c r="BS41" i="2"/>
  <c r="BR3" i="2"/>
  <c r="BR7" i="2"/>
  <c r="BR15" i="2"/>
  <c r="BR19" i="2"/>
  <c r="BR31" i="2"/>
  <c r="BR35" i="2"/>
  <c r="BR39" i="2"/>
  <c r="BR6" i="2"/>
  <c r="BR10" i="2"/>
  <c r="BS11" i="2"/>
  <c r="BR14" i="2"/>
  <c r="BR18" i="2"/>
  <c r="BR22" i="2"/>
  <c r="BS23" i="2"/>
  <c r="BR26" i="2"/>
  <c r="BS27" i="2"/>
  <c r="BR30" i="2"/>
  <c r="BR34" i="2"/>
  <c r="BR38" i="2"/>
  <c r="C4" i="1"/>
</calcChain>
</file>

<file path=xl/sharedStrings.xml><?xml version="1.0" encoding="utf-8"?>
<sst xmlns="http://schemas.openxmlformats.org/spreadsheetml/2006/main" count="3120" uniqueCount="294">
  <si>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</si>
  <si>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</si>
  <si>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</si>
  <si>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</si>
  <si>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</si>
  <si>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</si>
  <si>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</si>
  <si>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</si>
  <si>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</si>
  <si>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</si>
  <si>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</si>
  <si>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</si>
  <si>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</si>
  <si>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</si>
  <si>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</si>
  <si>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</si>
  <si>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</si>
  <si>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</si>
  <si>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</si>
  <si>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</si>
  <si>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</si>
  <si>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</si>
  <si>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</si>
  <si>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</si>
  <si>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</si>
  <si>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</si>
  <si>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</si>
  <si>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</si>
  <si>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</si>
  <si>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</si>
  <si>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</si>
  <si>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</si>
  <si>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</si>
  <si>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</si>
  <si>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</si>
  <si>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</si>
  <si>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</si>
  <si>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</si>
  <si>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</si>
  <si>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</si>
  <si>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</si>
  <si>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</si>
  <si>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</si>
  <si>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</si>
  <si>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</si>
  <si>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</si>
  <si>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</si>
  <si>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</si>
  <si>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</si>
  <si>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</si>
  <si>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</si>
  <si>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</si>
  <si>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</si>
  <si>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</si>
  <si>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</si>
  <si>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</si>
  <si>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</si>
  <si>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</si>
  <si>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</si>
  <si>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</si>
  <si>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</si>
  <si>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</si>
  <si>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</si>
  <si>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</si>
  <si>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</si>
  <si>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</si>
  <si>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</si>
  <si>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</si>
  <si>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</si>
  <si>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</si>
  <si>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</si>
  <si>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</si>
  <si>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</si>
  <si>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</si>
  <si>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</si>
  <si>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</si>
  <si>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</si>
  <si>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</si>
  <si>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</si>
  <si>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</si>
  <si>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</si>
  <si>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</si>
  <si>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</si>
  <si>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</si>
  <si>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</si>
  <si>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</si>
  <si>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</si>
  <si>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</si>
  <si>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</si>
  <si>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</si>
  <si>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</si>
  <si>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</si>
  <si>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</si>
  <si>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</si>
  <si>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</si>
  <si>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</si>
  <si>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</si>
  <si>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</si>
  <si>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</si>
  <si>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</si>
  <si>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Name</t>
  </si>
  <si>
    <t>Email</t>
  </si>
  <si>
    <t>Financial Status</t>
  </si>
  <si>
    <t>Paid at</t>
  </si>
  <si>
    <t>Fulfillment Status</t>
  </si>
  <si>
    <t>Fulfilled at</t>
  </si>
  <si>
    <t>Accepts Marketing</t>
  </si>
  <si>
    <t>Currency</t>
  </si>
  <si>
    <t>Subtotal</t>
  </si>
  <si>
    <t>Shipping</t>
  </si>
  <si>
    <t>Taxes</t>
  </si>
  <si>
    <t>Total</t>
  </si>
  <si>
    <t>Discount Code</t>
  </si>
  <si>
    <t>Discount Amount</t>
  </si>
  <si>
    <t>Shipping Method</t>
  </si>
  <si>
    <t>Created at</t>
  </si>
  <si>
    <t>Lineitem quantity</t>
  </si>
  <si>
    <t>Lineitem name</t>
  </si>
  <si>
    <t>Lineitem price</t>
  </si>
  <si>
    <t>Lineitem compare at price</t>
  </si>
  <si>
    <t>Lineitem sku</t>
  </si>
  <si>
    <t>Lineitem requires shipping</t>
  </si>
  <si>
    <t>Lineitem taxable</t>
  </si>
  <si>
    <t>Lineitem fulfillment status</t>
  </si>
  <si>
    <t>Billing Name</t>
  </si>
  <si>
    <t>Billing Street</t>
  </si>
  <si>
    <t>Billing Address1</t>
  </si>
  <si>
    <t>Billing Address2</t>
  </si>
  <si>
    <t>Billing Company</t>
  </si>
  <si>
    <t>Billing City</t>
  </si>
  <si>
    <t>Billing Zip</t>
  </si>
  <si>
    <t>Billing Province</t>
  </si>
  <si>
    <t>Billing Country</t>
  </si>
  <si>
    <t>Billing Phone</t>
  </si>
  <si>
    <t>Shipping Name</t>
  </si>
  <si>
    <t>Shipping Street</t>
  </si>
  <si>
    <t>Shipping Address1</t>
  </si>
  <si>
    <t>Shipping Address2</t>
  </si>
  <si>
    <t>Shipping Company</t>
  </si>
  <si>
    <t>Shipping City</t>
  </si>
  <si>
    <t>Shipping Zip</t>
  </si>
  <si>
    <t>Shipping Province</t>
  </si>
  <si>
    <t>Shipping Country</t>
  </si>
  <si>
    <t>Shipping Phone</t>
  </si>
  <si>
    <t>Notes</t>
  </si>
  <si>
    <t>Note Attributes</t>
  </si>
  <si>
    <t>Cancelled at</t>
  </si>
  <si>
    <t>Payment Method</t>
  </si>
  <si>
    <t>Payment Reference</t>
  </si>
  <si>
    <t>Refunded Amount</t>
  </si>
  <si>
    <t>Vendor</t>
  </si>
  <si>
    <t>Id</t>
  </si>
  <si>
    <t>Tags</t>
  </si>
  <si>
    <t>Risk Level</t>
  </si>
  <si>
    <t>Source</t>
  </si>
  <si>
    <t>Lineitem discount</t>
  </si>
  <si>
    <t>Tax 1 Name</t>
  </si>
  <si>
    <t>Tax 1 Value</t>
  </si>
  <si>
    <t>Tax 2 Name</t>
  </si>
  <si>
    <t>Tax 2 Value</t>
  </si>
  <si>
    <t>Tax 3 Name</t>
  </si>
  <si>
    <t>Tax 3 Value</t>
  </si>
  <si>
    <t>Tax 4 Name</t>
  </si>
  <si>
    <t>Tax 4 Value</t>
  </si>
  <si>
    <t>Tax 5 Name</t>
  </si>
  <si>
    <t>Tax 5 Value</t>
  </si>
  <si>
    <t>Phone</t>
  </si>
  <si>
    <t>Receipt Number</t>
  </si>
  <si>
    <t>#1014</t>
  </si>
  <si>
    <t>jensenscottys@gmail.com</t>
  </si>
  <si>
    <t>paid</t>
  </si>
  <si>
    <t>fulfilled</t>
  </si>
  <si>
    <t>no</t>
  </si>
  <si>
    <t>USD</t>
  </si>
  <si>
    <t>Free Shipping</t>
  </si>
  <si>
    <t>Sour Cream Cake Ring</t>
  </si>
  <si>
    <t>Kyle Jensen</t>
  </si>
  <si>
    <t>5910 E Ludington Ave, PO 571</t>
  </si>
  <si>
    <t>5910 E Ludington Ave</t>
  </si>
  <si>
    <t>PO 571</t>
  </si>
  <si>
    <t>Scottys</t>
  </si>
  <si>
    <t>Ludington</t>
  </si>
  <si>
    <t>'49431</t>
  </si>
  <si>
    <t>US</t>
  </si>
  <si>
    <t>(231) 843-4033</t>
  </si>
  <si>
    <t>Weston Food Service</t>
  </si>
  <si>
    <t>Low</t>
  </si>
  <si>
    <t>web</t>
  </si>
  <si>
    <t>Olive Boule</t>
  </si>
  <si>
    <t>Ace Bakery</t>
  </si>
  <si>
    <t>Roasted Garlic Oval</t>
  </si>
  <si>
    <t>Multigrain Oval</t>
  </si>
  <si>
    <t>Chocolate Cake Ring</t>
  </si>
  <si>
    <t>Short Rib Ravioli</t>
  </si>
  <si>
    <t>Giovanni Rana Pasta</t>
  </si>
  <si>
    <t>Grilled Chicken Ravioli</t>
  </si>
  <si>
    <t>Bolognese Sauce</t>
  </si>
  <si>
    <t>Maine Lobster Ravioli</t>
  </si>
  <si>
    <t>Ciabatta Cluster x 4</t>
  </si>
  <si>
    <t>Focaccia Pull-Apart</t>
  </si>
  <si>
    <t>White Dinner Roll</t>
  </si>
  <si>
    <t>Rosemary Focaccia Rectangle</t>
  </si>
  <si>
    <t>Chocolate Cake Hole</t>
  </si>
  <si>
    <t>Plain Cake Hole</t>
  </si>
  <si>
    <t>Alfredo Sauce</t>
  </si>
  <si>
    <t>Basil Pesto</t>
  </si>
  <si>
    <t>White Baguette</t>
  </si>
  <si>
    <t>Cranberry Raisin Focaccia</t>
  </si>
  <si>
    <t>#1013</t>
  </si>
  <si>
    <t>ccidema@gmail.com</t>
  </si>
  <si>
    <t>Multigrain Ciabatta 12"</t>
  </si>
  <si>
    <t>Chris Idema</t>
  </si>
  <si>
    <t>5574 West 10 1/2 Mile Road</t>
  </si>
  <si>
    <t>Chris' Restaurant</t>
  </si>
  <si>
    <t>Irons</t>
  </si>
  <si>
    <t>'49644</t>
  </si>
  <si>
    <t>'+1 616-819-0052</t>
  </si>
  <si>
    <t>Baguette Bagel</t>
  </si>
  <si>
    <t>#1012</t>
  </si>
  <si>
    <t>Craft Brioche Bun</t>
  </si>
  <si>
    <t>Mallory Malloy</t>
  </si>
  <si>
    <t>1355 Judd Avenue Southwest</t>
  </si>
  <si>
    <t>Mindset Meals</t>
  </si>
  <si>
    <t>'49509</t>
  </si>
  <si>
    <t>202 E. 26th St.</t>
  </si>
  <si>
    <t>Holland</t>
  </si>
  <si>
    <t>'49423</t>
  </si>
  <si>
    <t>#1011</t>
  </si>
  <si>
    <t>mhaskins325@gmail.com</t>
  </si>
  <si>
    <t>Morgan Haskins</t>
  </si>
  <si>
    <t>202 East 26th Street</t>
  </si>
  <si>
    <t>Greeson Marketing</t>
  </si>
  <si>
    <t>(810) 599-3370</t>
  </si>
  <si>
    <t>#1010</t>
  </si>
  <si>
    <t>Mushroom Truffle Ravioli</t>
  </si>
  <si>
    <t>#1009</t>
  </si>
  <si>
    <t>#1008</t>
  </si>
  <si>
    <t>General Delivery</t>
  </si>
  <si>
    <t>#1007</t>
  </si>
  <si>
    <t>Linguine</t>
  </si>
  <si>
    <t>Gnocchi</t>
  </si>
  <si>
    <t>#1006</t>
  </si>
  <si>
    <t>chris@mycleanfacility.com</t>
  </si>
  <si>
    <t>Ciabatta Piccola</t>
  </si>
  <si>
    <t>Jim Jones</t>
  </si>
  <si>
    <t>1456 Rivington Road</t>
  </si>
  <si>
    <t>Jim's Burger Shack</t>
  </si>
  <si>
    <t>Loves Park</t>
  </si>
  <si>
    <t>'61111</t>
  </si>
  <si>
    <t>1 (234) 564-5687</t>
  </si>
  <si>
    <t>Mini Herb Schiacciata</t>
  </si>
  <si>
    <t>Classic Burger Bun</t>
  </si>
  <si>
    <t>#1005</t>
  </si>
  <si>
    <t>ncisler@gmail.com</t>
  </si>
  <si>
    <t>White Baguette (100304)</t>
  </si>
  <si>
    <t>Nick Cisler</t>
  </si>
  <si>
    <t>18 Glen Ter</t>
  </si>
  <si>
    <t>Havertown</t>
  </si>
  <si>
    <t>'19083</t>
  </si>
  <si>
    <t>'+1 (215) 435-4353</t>
  </si>
  <si>
    <t>#1004</t>
  </si>
  <si>
    <t>agreeson@greesonsales.com</t>
  </si>
  <si>
    <t>16-Roll Cluster</t>
  </si>
  <si>
    <t>Allen Greeson</t>
  </si>
  <si>
    <t xml:space="preserve">2337 Burchard SE   </t>
  </si>
  <si>
    <t>Greeson Sales &amp; Marketing</t>
  </si>
  <si>
    <t>Grand Rapids</t>
  </si>
  <si>
    <t>'49506</t>
  </si>
  <si>
    <t>(616) 648-4977</t>
  </si>
  <si>
    <t>#1003</t>
  </si>
  <si>
    <t>Chris' Crab Shack</t>
  </si>
  <si>
    <t>(616) 819-0052</t>
  </si>
  <si>
    <t>#1002</t>
  </si>
  <si>
    <t>meagangreeson7@gmail.com</t>
  </si>
  <si>
    <t>Meagan Idema</t>
  </si>
  <si>
    <t>Meags Kitchen</t>
  </si>
  <si>
    <t>(616) 581-4593</t>
  </si>
  <si>
    <t>#1001</t>
  </si>
  <si>
    <t>shopify_draft_order</t>
  </si>
  <si>
    <t>Phone Number</t>
  </si>
  <si>
    <t>Greg Ambrogi</t>
  </si>
  <si>
    <t>(215) 435-4353</t>
  </si>
  <si>
    <t>(610) 420-3842</t>
  </si>
  <si>
    <t>grambrog24@gmail.com</t>
  </si>
  <si>
    <t>#1042</t>
  </si>
  <si>
    <t>kevinmmcinerney@gmail.com</t>
  </si>
  <si>
    <t>Shipping Cost</t>
  </si>
  <si>
    <t>Pappardelle</t>
  </si>
  <si>
    <t>Kevin McInerney</t>
  </si>
  <si>
    <t>123 Main Street</t>
  </si>
  <si>
    <t>Pleasanton</t>
  </si>
  <si>
    <t>'94566</t>
  </si>
  <si>
    <t>Lucy's Pasta</t>
  </si>
  <si>
    <t>chris@samplesavor.com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</si>
</sst>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\(#,##0\);_-* &quot;-&quot;??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4" xfId="1" applyBorder="1"/>
    <xf numFmtId="0" fontId="0" fillId="0" borderId="5" xfId="0" applyBorder="1"/>
    <xf numFmtId="0" fontId="0" fillId="0" borderId="0" xfId="0" applyBorder="1"/>
    <xf numFmtId="0" fontId="2" fillId="0" borderId="6" xfId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1" xfId="0" applyFill="1" applyBorder="1"/>
    <xf numFmtId="0" fontId="0" fillId="3" borderId="0" xfId="0" applyFill="1"/>
    <xf numFmtId="0" fontId="1" fillId="0" borderId="1" xfId="0" applyFont="1" applyBorder="1"/>
    <xf numFmtId="0" fontId="1" fillId="2" borderId="1" xfId="0" applyFont="1" applyFill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6" xfId="0" applyNumberFormat="1" applyBorder="1"/>
    <xf numFmtId="0" fontId="0" fillId="4" borderId="0" xfId="0" applyFill="1"/>
    <xf numFmtId="0" fontId="0" fillId="0" borderId="0" xfId="0" applyFill="1" applyBorder="1"/>
  </cellXfs>
  <cellStyles count="2">
    <cellStyle name="Hyperlink" xfId="1" builtinId="8"/>
    <cellStyle name="Normal" xfId="0" builtinId="0"/>
  </cellStyles>
  <dxfs count="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361950</xdr:colOff>
          <xdr:row>1</xdr:row>
          <xdr:rowOff>165100</xdr:rowOff>
        </xdr:from>
        <xdr:to>
          <xdr:col>73</xdr:col>
          <xdr:colOff>50800</xdr:colOff>
          <xdr:row>4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361950</xdr:colOff>
          <xdr:row>1</xdr:row>
          <xdr:rowOff>165100</xdr:rowOff>
        </xdr:from>
        <xdr:to>
          <xdr:col>73</xdr:col>
          <xdr:colOff>50800</xdr:colOff>
          <xdr:row>4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361950</xdr:colOff>
          <xdr:row>1</xdr:row>
          <xdr:rowOff>165100</xdr:rowOff>
        </xdr:from>
        <xdr:to>
          <xdr:col>73</xdr:col>
          <xdr:colOff>50800</xdr:colOff>
          <xdr:row>4</xdr:row>
          <xdr:rowOff>95250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361950</xdr:colOff>
          <xdr:row>1</xdr:row>
          <xdr:rowOff>165100</xdr:rowOff>
        </xdr:from>
        <xdr:to>
          <xdr:col>73</xdr:col>
          <xdr:colOff>50800</xdr:colOff>
          <xdr:row>4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CAA0B72C-A117-4E8C-894D-F2EFA2027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hris@samplesavor.com" TargetMode="External"/><Relationship Id="rId2" Type="http://schemas.openxmlformats.org/officeDocument/2006/relationships/hyperlink" Target="mailto:grambrog24@gmail.com" TargetMode="External"/><Relationship Id="rId1" Type="http://schemas.openxmlformats.org/officeDocument/2006/relationships/hyperlink" Target="mailto:ncisler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400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7" sqref="B7"/>
    </sheetView>
  </sheetViews>
  <sheetFormatPr defaultRowHeight="14.5" x14ac:dyDescent="0.35"/>
  <cols>
    <col min="2" max="2" width="13.26953125" bestFit="1" customWidth="1"/>
    <col min="3" max="3" width="14.54296875" bestFit="1" customWidth="1"/>
    <col min="4" max="4" width="22.81640625" bestFit="1" customWidth="1"/>
  </cols>
  <sheetData>
    <row r="2" spans="2:4" x14ac:dyDescent="0.35">
      <c r="B2" s="13" t="s">
        <v>100</v>
      </c>
      <c r="C2" s="13" t="s">
        <v>279</v>
      </c>
      <c r="D2" s="13" t="s">
        <v>101</v>
      </c>
    </row>
    <row r="3" spans="2:4" x14ac:dyDescent="0.35">
      <c r="B3" s="4" t="s">
        <v>255</v>
      </c>
      <c r="C3" s="5" t="s">
        <v>281</v>
      </c>
      <c r="D3" s="6" t="s">
        <v>253</v>
      </c>
    </row>
    <row r="4" spans="2:4" x14ac:dyDescent="0.35">
      <c r="B4" s="7" t="s">
        <v>280</v>
      </c>
      <c r="C4" s="8" t="s">
        <v>282</v>
      </c>
      <c r="D4" s="9" t="s">
        <v>283</v>
      </c>
    </row>
    <row r="5" spans="2:4" x14ac:dyDescent="0.35">
      <c r="B5" s="7" t="s">
        <v>211</v>
      </c>
      <c r="C5" s="22" t="s">
        <v>271</v>
      </c>
      <c r="D5" s="9" t="s">
        <v>293</v>
      </c>
    </row>
    <row r="6" spans="2:4" x14ac:dyDescent="0.35">
      <c r="B6" s="7"/>
      <c r="C6" s="8"/>
      <c r="D6" s="10"/>
    </row>
    <row r="7" spans="2:4" x14ac:dyDescent="0.35">
      <c r="B7" s="7"/>
      <c r="C7" s="8"/>
      <c r="D7" s="10"/>
    </row>
    <row r="8" spans="2:4" x14ac:dyDescent="0.35">
      <c r="B8" s="7"/>
      <c r="C8" s="8"/>
      <c r="D8" s="10"/>
    </row>
    <row r="9" spans="2:4" x14ac:dyDescent="0.35">
      <c r="B9" s="7"/>
      <c r="C9" s="8"/>
      <c r="D9" s="10"/>
    </row>
    <row r="10" spans="2:4" x14ac:dyDescent="0.35">
      <c r="B10" s="7"/>
      <c r="C10" s="8"/>
      <c r="D10" s="10"/>
    </row>
    <row r="11" spans="2:4" x14ac:dyDescent="0.35">
      <c r="B11" s="7"/>
      <c r="C11" s="8"/>
      <c r="D11" s="10"/>
    </row>
    <row r="12" spans="2:4" x14ac:dyDescent="0.35">
      <c r="B12" s="7"/>
      <c r="C12" s="8"/>
      <c r="D12" s="10"/>
    </row>
    <row r="13" spans="2:4" x14ac:dyDescent="0.35">
      <c r="B13" s="7"/>
      <c r="C13" s="8"/>
      <c r="D13" s="10"/>
    </row>
    <row r="14" spans="2:4" x14ac:dyDescent="0.35">
      <c r="B14" s="7"/>
      <c r="C14" s="8"/>
      <c r="D14" s="10"/>
    </row>
    <row r="15" spans="2:4" x14ac:dyDescent="0.35">
      <c r="B15" s="7"/>
      <c r="C15" s="8"/>
      <c r="D15" s="10"/>
    </row>
    <row r="16" spans="2:4" x14ac:dyDescent="0.35">
      <c r="B16" s="7"/>
      <c r="C16" s="8"/>
      <c r="D16" s="10"/>
    </row>
    <row r="17" spans="2:4" x14ac:dyDescent="0.35">
      <c r="B17" s="7"/>
      <c r="C17" s="8"/>
      <c r="D17" s="10"/>
    </row>
    <row r="18" spans="2:4" x14ac:dyDescent="0.35">
      <c r="B18" s="7"/>
      <c r="C18" s="8"/>
      <c r="D18" s="10"/>
    </row>
    <row r="19" spans="2:4" x14ac:dyDescent="0.35">
      <c r="B19" s="7"/>
      <c r="C19" s="8"/>
      <c r="D19" s="10"/>
    </row>
    <row r="20" spans="2:4" x14ac:dyDescent="0.35">
      <c r="B20" s="7"/>
      <c r="C20" s="8"/>
      <c r="D20" s="10"/>
    </row>
    <row r="21" spans="2:4" x14ac:dyDescent="0.35">
      <c r="B21" s="7"/>
      <c r="C21" s="8"/>
      <c r="D21" s="10"/>
    </row>
    <row r="22" spans="2:4" x14ac:dyDescent="0.35">
      <c r="B22" s="7"/>
      <c r="C22" s="8"/>
      <c r="D22" s="10"/>
    </row>
    <row r="23" spans="2:4" x14ac:dyDescent="0.35">
      <c r="B23" s="7"/>
      <c r="C23" s="8"/>
      <c r="D23" s="10"/>
    </row>
    <row r="24" spans="2:4" x14ac:dyDescent="0.35">
      <c r="B24" s="7"/>
      <c r="C24" s="8"/>
      <c r="D24" s="10"/>
    </row>
    <row r="25" spans="2:4" x14ac:dyDescent="0.35">
      <c r="B25" s="7"/>
      <c r="C25" s="8"/>
      <c r="D25" s="10"/>
    </row>
    <row r="26" spans="2:4" x14ac:dyDescent="0.35">
      <c r="B26" s="7"/>
      <c r="C26" s="8"/>
      <c r="D26" s="10"/>
    </row>
    <row r="27" spans="2:4" x14ac:dyDescent="0.35">
      <c r="B27" s="7"/>
      <c r="C27" s="8"/>
      <c r="D27" s="10"/>
    </row>
    <row r="28" spans="2:4" x14ac:dyDescent="0.35">
      <c r="B28" s="7"/>
      <c r="C28" s="8"/>
      <c r="D28" s="10"/>
    </row>
    <row r="29" spans="2:4" x14ac:dyDescent="0.35">
      <c r="B29" s="7"/>
      <c r="C29" s="8"/>
      <c r="D29" s="10"/>
    </row>
    <row r="30" spans="2:4" x14ac:dyDescent="0.35">
      <c r="B30" s="7"/>
      <c r="C30" s="8"/>
      <c r="D30" s="10"/>
    </row>
    <row r="31" spans="2:4" x14ac:dyDescent="0.35">
      <c r="B31" s="7"/>
      <c r="C31" s="8"/>
      <c r="D31" s="10"/>
    </row>
    <row r="32" spans="2:4" x14ac:dyDescent="0.35">
      <c r="B32" s="7"/>
      <c r="C32" s="8"/>
      <c r="D32" s="10"/>
    </row>
    <row r="33" spans="2:4" x14ac:dyDescent="0.35">
      <c r="B33" s="7"/>
      <c r="C33" s="8"/>
      <c r="D33" s="10"/>
    </row>
    <row r="34" spans="2:4" x14ac:dyDescent="0.35">
      <c r="B34" s="7"/>
      <c r="C34" s="8"/>
      <c r="D34" s="10"/>
    </row>
    <row r="35" spans="2:4" x14ac:dyDescent="0.35">
      <c r="B35" s="7"/>
      <c r="C35" s="8"/>
      <c r="D35" s="10"/>
    </row>
    <row r="36" spans="2:4" x14ac:dyDescent="0.35">
      <c r="B36" s="7"/>
      <c r="C36" s="8"/>
      <c r="D36" s="10"/>
    </row>
    <row r="37" spans="2:4" x14ac:dyDescent="0.35">
      <c r="B37" s="7"/>
      <c r="C37" s="8"/>
      <c r="D37" s="10"/>
    </row>
    <row r="38" spans="2:4" x14ac:dyDescent="0.35">
      <c r="B38" s="7"/>
      <c r="C38" s="8"/>
      <c r="D38" s="10"/>
    </row>
    <row r="39" spans="2:4" x14ac:dyDescent="0.35">
      <c r="B39" s="7"/>
      <c r="C39" s="8"/>
      <c r="D39" s="10"/>
    </row>
    <row r="40" spans="2:4" x14ac:dyDescent="0.35">
      <c r="B40" s="7"/>
      <c r="C40" s="8"/>
      <c r="D40" s="10"/>
    </row>
    <row r="41" spans="2:4" x14ac:dyDescent="0.35">
      <c r="B41" s="7"/>
      <c r="C41" s="8"/>
      <c r="D41" s="10"/>
    </row>
    <row r="42" spans="2:4" x14ac:dyDescent="0.35">
      <c r="B42" s="7"/>
      <c r="C42" s="8"/>
      <c r="D42" s="10"/>
    </row>
    <row r="43" spans="2:4" x14ac:dyDescent="0.35">
      <c r="B43" s="7"/>
      <c r="C43" s="8"/>
      <c r="D43" s="10"/>
    </row>
    <row r="44" spans="2:4" x14ac:dyDescent="0.35">
      <c r="B44" s="7"/>
      <c r="C44" s="8"/>
      <c r="D44" s="10"/>
    </row>
    <row r="45" spans="2:4" x14ac:dyDescent="0.35">
      <c r="B45" s="7"/>
      <c r="C45" s="8"/>
      <c r="D45" s="10"/>
    </row>
    <row r="46" spans="2:4" x14ac:dyDescent="0.35">
      <c r="B46" s="7"/>
      <c r="C46" s="8"/>
      <c r="D46" s="10"/>
    </row>
    <row r="47" spans="2:4" x14ac:dyDescent="0.35">
      <c r="B47" s="7"/>
      <c r="C47" s="8"/>
      <c r="D47" s="10"/>
    </row>
    <row r="48" spans="2:4" x14ac:dyDescent="0.35">
      <c r="B48" s="7"/>
      <c r="C48" s="8"/>
      <c r="D48" s="10"/>
    </row>
    <row r="49" spans="2:4" x14ac:dyDescent="0.35">
      <c r="B49" s="7"/>
      <c r="C49" s="8"/>
      <c r="D49" s="10"/>
    </row>
    <row r="50" spans="2:4" x14ac:dyDescent="0.35">
      <c r="B50" s="7"/>
      <c r="C50" s="8"/>
      <c r="D50" s="10"/>
    </row>
    <row r="51" spans="2:4" x14ac:dyDescent="0.35">
      <c r="B51" s="7"/>
      <c r="C51" s="8"/>
      <c r="D51" s="10"/>
    </row>
    <row r="52" spans="2:4" x14ac:dyDescent="0.35">
      <c r="B52" s="7"/>
      <c r="C52" s="8"/>
      <c r="D52" s="10"/>
    </row>
    <row r="53" spans="2:4" x14ac:dyDescent="0.35">
      <c r="B53" s="7"/>
      <c r="C53" s="8"/>
      <c r="D53" s="10"/>
    </row>
    <row r="54" spans="2:4" x14ac:dyDescent="0.35">
      <c r="B54" s="7"/>
      <c r="C54" s="8"/>
      <c r="D54" s="10"/>
    </row>
    <row r="55" spans="2:4" x14ac:dyDescent="0.35">
      <c r="B55" s="7"/>
      <c r="C55" s="8"/>
      <c r="D55" s="10"/>
    </row>
    <row r="56" spans="2:4" x14ac:dyDescent="0.35">
      <c r="B56" s="7"/>
      <c r="C56" s="8"/>
      <c r="D56" s="10"/>
    </row>
    <row r="57" spans="2:4" x14ac:dyDescent="0.35">
      <c r="B57" s="7"/>
      <c r="C57" s="8"/>
      <c r="D57" s="10"/>
    </row>
    <row r="58" spans="2:4" x14ac:dyDescent="0.35">
      <c r="B58" s="7"/>
      <c r="C58" s="8"/>
      <c r="D58" s="10"/>
    </row>
    <row r="59" spans="2:4" x14ac:dyDescent="0.35">
      <c r="B59" s="7"/>
      <c r="C59" s="8"/>
      <c r="D59" s="10"/>
    </row>
    <row r="60" spans="2:4" x14ac:dyDescent="0.35">
      <c r="B60" s="7"/>
      <c r="C60" s="8"/>
      <c r="D60" s="10"/>
    </row>
    <row r="61" spans="2:4" x14ac:dyDescent="0.35">
      <c r="B61" s="7"/>
      <c r="C61" s="8"/>
      <c r="D61" s="10"/>
    </row>
    <row r="62" spans="2:4" x14ac:dyDescent="0.35">
      <c r="B62" s="7"/>
      <c r="C62" s="8"/>
      <c r="D62" s="10"/>
    </row>
    <row r="63" spans="2:4" x14ac:dyDescent="0.35">
      <c r="B63" s="7"/>
      <c r="C63" s="8"/>
      <c r="D63" s="10"/>
    </row>
    <row r="64" spans="2:4" x14ac:dyDescent="0.35">
      <c r="B64" s="7"/>
      <c r="C64" s="8"/>
      <c r="D64" s="10"/>
    </row>
    <row r="65" spans="2:4" x14ac:dyDescent="0.35">
      <c r="B65" s="7"/>
      <c r="C65" s="8"/>
      <c r="D65" s="10"/>
    </row>
    <row r="66" spans="2:4" x14ac:dyDescent="0.35">
      <c r="B66" s="7"/>
      <c r="C66" s="8"/>
      <c r="D66" s="10"/>
    </row>
    <row r="67" spans="2:4" x14ac:dyDescent="0.35">
      <c r="B67" s="7"/>
      <c r="C67" s="8"/>
      <c r="D67" s="10"/>
    </row>
    <row r="68" spans="2:4" x14ac:dyDescent="0.35">
      <c r="B68" s="7"/>
      <c r="C68" s="8"/>
      <c r="D68" s="10"/>
    </row>
    <row r="69" spans="2:4" x14ac:dyDescent="0.35">
      <c r="B69" s="7"/>
      <c r="C69" s="8"/>
      <c r="D69" s="10"/>
    </row>
    <row r="70" spans="2:4" x14ac:dyDescent="0.35">
      <c r="B70" s="7"/>
      <c r="C70" s="8"/>
      <c r="D70" s="10"/>
    </row>
    <row r="71" spans="2:4" x14ac:dyDescent="0.35">
      <c r="B71" s="7"/>
      <c r="C71" s="8"/>
      <c r="D71" s="10"/>
    </row>
    <row r="72" spans="2:4" x14ac:dyDescent="0.35">
      <c r="B72" s="7"/>
      <c r="C72" s="8"/>
      <c r="D72" s="10"/>
    </row>
    <row r="73" spans="2:4" x14ac:dyDescent="0.35">
      <c r="B73" s="7"/>
      <c r="C73" s="8"/>
      <c r="D73" s="10"/>
    </row>
    <row r="74" spans="2:4" x14ac:dyDescent="0.35">
      <c r="B74" s="7"/>
      <c r="C74" s="8"/>
      <c r="D74" s="10"/>
    </row>
    <row r="75" spans="2:4" x14ac:dyDescent="0.35">
      <c r="B75" s="7"/>
      <c r="C75" s="8"/>
      <c r="D75" s="10"/>
    </row>
    <row r="76" spans="2:4" x14ac:dyDescent="0.35">
      <c r="B76" s="7"/>
      <c r="C76" s="8"/>
      <c r="D76" s="10"/>
    </row>
    <row r="77" spans="2:4" x14ac:dyDescent="0.35">
      <c r="B77" s="7"/>
      <c r="C77" s="8"/>
      <c r="D77" s="10"/>
    </row>
    <row r="78" spans="2:4" x14ac:dyDescent="0.35">
      <c r="B78" s="7"/>
      <c r="C78" s="8"/>
      <c r="D78" s="10"/>
    </row>
    <row r="79" spans="2:4" x14ac:dyDescent="0.35">
      <c r="B79" s="7"/>
      <c r="C79" s="8"/>
      <c r="D79" s="10"/>
    </row>
    <row r="80" spans="2:4" x14ac:dyDescent="0.35">
      <c r="B80" s="7"/>
      <c r="C80" s="8"/>
      <c r="D80" s="10"/>
    </row>
    <row r="81" spans="2:4" x14ac:dyDescent="0.35">
      <c r="B81" s="7"/>
      <c r="C81" s="8"/>
      <c r="D81" s="10"/>
    </row>
    <row r="82" spans="2:4" x14ac:dyDescent="0.35">
      <c r="B82" s="7"/>
      <c r="C82" s="8"/>
      <c r="D82" s="10"/>
    </row>
    <row r="83" spans="2:4" x14ac:dyDescent="0.35">
      <c r="B83" s="7"/>
      <c r="C83" s="8"/>
      <c r="D83" s="10"/>
    </row>
    <row r="84" spans="2:4" x14ac:dyDescent="0.35">
      <c r="B84" s="7"/>
      <c r="C84" s="8"/>
      <c r="D84" s="10"/>
    </row>
    <row r="85" spans="2:4" x14ac:dyDescent="0.35">
      <c r="B85" s="7"/>
      <c r="C85" s="8"/>
      <c r="D85" s="10"/>
    </row>
    <row r="86" spans="2:4" x14ac:dyDescent="0.35">
      <c r="B86" s="7"/>
      <c r="C86" s="8"/>
      <c r="D86" s="10"/>
    </row>
    <row r="87" spans="2:4" x14ac:dyDescent="0.35">
      <c r="B87" s="7"/>
      <c r="C87" s="8"/>
      <c r="D87" s="10"/>
    </row>
    <row r="88" spans="2:4" x14ac:dyDescent="0.35">
      <c r="B88" s="7"/>
      <c r="C88" s="8"/>
      <c r="D88" s="10"/>
    </row>
    <row r="89" spans="2:4" x14ac:dyDescent="0.35">
      <c r="B89" s="7"/>
      <c r="C89" s="8"/>
      <c r="D89" s="10"/>
    </row>
    <row r="90" spans="2:4" x14ac:dyDescent="0.35">
      <c r="B90" s="7"/>
      <c r="C90" s="8"/>
      <c r="D90" s="10"/>
    </row>
    <row r="91" spans="2:4" x14ac:dyDescent="0.35">
      <c r="B91" s="7"/>
      <c r="C91" s="8"/>
      <c r="D91" s="10"/>
    </row>
    <row r="92" spans="2:4" x14ac:dyDescent="0.35">
      <c r="B92" s="7"/>
      <c r="C92" s="8"/>
      <c r="D92" s="10"/>
    </row>
    <row r="93" spans="2:4" x14ac:dyDescent="0.35">
      <c r="B93" s="7"/>
      <c r="C93" s="8"/>
      <c r="D93" s="10"/>
    </row>
    <row r="94" spans="2:4" x14ac:dyDescent="0.35">
      <c r="B94" s="7"/>
      <c r="C94" s="8"/>
      <c r="D94" s="10"/>
    </row>
    <row r="95" spans="2:4" x14ac:dyDescent="0.35">
      <c r="B95" s="7"/>
      <c r="C95" s="8"/>
      <c r="D95" s="10"/>
    </row>
    <row r="96" spans="2:4" x14ac:dyDescent="0.35">
      <c r="B96" s="7"/>
      <c r="C96" s="8"/>
      <c r="D96" s="10"/>
    </row>
    <row r="97" spans="2:4" x14ac:dyDescent="0.35">
      <c r="B97" s="7"/>
      <c r="C97" s="8"/>
      <c r="D97" s="10"/>
    </row>
    <row r="98" spans="2:4" x14ac:dyDescent="0.35">
      <c r="B98" s="7"/>
      <c r="C98" s="8"/>
      <c r="D98" s="10"/>
    </row>
    <row r="99" spans="2:4" x14ac:dyDescent="0.35">
      <c r="B99" s="7"/>
      <c r="C99" s="8"/>
      <c r="D99" s="10"/>
    </row>
    <row r="100" spans="2:4" x14ac:dyDescent="0.35">
      <c r="B100" s="7"/>
      <c r="C100" s="8"/>
      <c r="D100" s="10"/>
    </row>
    <row r="101" spans="2:4" x14ac:dyDescent="0.35">
      <c r="B101" s="7"/>
      <c r="C101" s="8"/>
      <c r="D101" s="10"/>
    </row>
    <row r="102" spans="2:4" x14ac:dyDescent="0.35">
      <c r="B102" s="7"/>
      <c r="C102" s="8"/>
      <c r="D102" s="10"/>
    </row>
    <row r="103" spans="2:4" x14ac:dyDescent="0.35">
      <c r="B103" s="7"/>
      <c r="C103" s="8"/>
      <c r="D103" s="10"/>
    </row>
    <row r="104" spans="2:4" x14ac:dyDescent="0.35">
      <c r="B104" s="7"/>
      <c r="C104" s="8"/>
      <c r="D104" s="10"/>
    </row>
    <row r="105" spans="2:4" x14ac:dyDescent="0.35">
      <c r="B105" s="7"/>
      <c r="C105" s="8"/>
      <c r="D105" s="10"/>
    </row>
    <row r="106" spans="2:4" x14ac:dyDescent="0.35">
      <c r="B106" s="7"/>
      <c r="C106" s="8"/>
      <c r="D106" s="10"/>
    </row>
    <row r="107" spans="2:4" x14ac:dyDescent="0.35">
      <c r="B107" s="7"/>
      <c r="C107" s="8"/>
      <c r="D107" s="10"/>
    </row>
    <row r="108" spans="2:4" x14ac:dyDescent="0.35">
      <c r="B108" s="7"/>
      <c r="C108" s="8"/>
      <c r="D108" s="10"/>
    </row>
    <row r="109" spans="2:4" x14ac:dyDescent="0.35">
      <c r="B109" s="7"/>
      <c r="C109" s="8"/>
      <c r="D109" s="10"/>
    </row>
    <row r="110" spans="2:4" x14ac:dyDescent="0.35">
      <c r="B110" s="7"/>
      <c r="C110" s="8"/>
      <c r="D110" s="10"/>
    </row>
    <row r="111" spans="2:4" x14ac:dyDescent="0.35">
      <c r="B111" s="7"/>
      <c r="C111" s="8"/>
      <c r="D111" s="10"/>
    </row>
    <row r="112" spans="2:4" x14ac:dyDescent="0.35">
      <c r="B112" s="7"/>
      <c r="C112" s="8"/>
      <c r="D112" s="10"/>
    </row>
    <row r="113" spans="2:4" x14ac:dyDescent="0.35">
      <c r="B113" s="7"/>
      <c r="C113" s="8"/>
      <c r="D113" s="10"/>
    </row>
    <row r="114" spans="2:4" x14ac:dyDescent="0.35">
      <c r="B114" s="7"/>
      <c r="C114" s="8"/>
      <c r="D114" s="10"/>
    </row>
    <row r="115" spans="2:4" x14ac:dyDescent="0.35">
      <c r="B115" s="7"/>
      <c r="C115" s="8"/>
      <c r="D115" s="10"/>
    </row>
    <row r="116" spans="2:4" x14ac:dyDescent="0.35">
      <c r="B116" s="7"/>
      <c r="C116" s="8"/>
      <c r="D116" s="10"/>
    </row>
    <row r="117" spans="2:4" x14ac:dyDescent="0.35">
      <c r="B117" s="7"/>
      <c r="C117" s="8"/>
      <c r="D117" s="10"/>
    </row>
    <row r="118" spans="2:4" x14ac:dyDescent="0.35">
      <c r="B118" s="7"/>
      <c r="C118" s="8"/>
      <c r="D118" s="10"/>
    </row>
    <row r="119" spans="2:4" x14ac:dyDescent="0.35">
      <c r="B119" s="7"/>
      <c r="C119" s="8"/>
      <c r="D119" s="10"/>
    </row>
    <row r="120" spans="2:4" x14ac:dyDescent="0.35">
      <c r="B120" s="7"/>
      <c r="C120" s="8"/>
      <c r="D120" s="10"/>
    </row>
    <row r="121" spans="2:4" x14ac:dyDescent="0.35">
      <c r="B121" s="7"/>
      <c r="C121" s="8"/>
      <c r="D121" s="10"/>
    </row>
    <row r="122" spans="2:4" x14ac:dyDescent="0.35">
      <c r="B122" s="7"/>
      <c r="C122" s="8"/>
      <c r="D122" s="10"/>
    </row>
    <row r="123" spans="2:4" x14ac:dyDescent="0.35">
      <c r="B123" s="7"/>
      <c r="C123" s="8"/>
      <c r="D123" s="10"/>
    </row>
    <row r="124" spans="2:4" x14ac:dyDescent="0.35">
      <c r="B124" s="7"/>
      <c r="C124" s="8"/>
      <c r="D124" s="10"/>
    </row>
    <row r="125" spans="2:4" x14ac:dyDescent="0.35">
      <c r="B125" s="7"/>
      <c r="C125" s="8"/>
      <c r="D125" s="10"/>
    </row>
    <row r="126" spans="2:4" x14ac:dyDescent="0.35">
      <c r="B126" s="7"/>
      <c r="C126" s="8"/>
      <c r="D126" s="10"/>
    </row>
    <row r="127" spans="2:4" x14ac:dyDescent="0.35">
      <c r="B127" s="7"/>
      <c r="C127" s="8"/>
      <c r="D127" s="10"/>
    </row>
    <row r="128" spans="2:4" x14ac:dyDescent="0.35">
      <c r="B128" s="7"/>
      <c r="C128" s="8"/>
      <c r="D128" s="10"/>
    </row>
    <row r="129" spans="2:4" x14ac:dyDescent="0.35">
      <c r="B129" s="7"/>
      <c r="C129" s="8"/>
      <c r="D129" s="10"/>
    </row>
    <row r="130" spans="2:4" x14ac:dyDescent="0.35">
      <c r="B130" s="7"/>
      <c r="C130" s="8"/>
      <c r="D130" s="10"/>
    </row>
    <row r="131" spans="2:4" x14ac:dyDescent="0.35">
      <c r="B131" s="7"/>
      <c r="C131" s="8"/>
      <c r="D131" s="10"/>
    </row>
    <row r="132" spans="2:4" x14ac:dyDescent="0.35">
      <c r="B132" s="7"/>
      <c r="C132" s="8"/>
      <c r="D132" s="10"/>
    </row>
    <row r="133" spans="2:4" x14ac:dyDescent="0.35">
      <c r="B133" s="7"/>
      <c r="C133" s="8"/>
      <c r="D133" s="10"/>
    </row>
    <row r="134" spans="2:4" x14ac:dyDescent="0.35">
      <c r="B134" s="7"/>
      <c r="C134" s="8"/>
      <c r="D134" s="10"/>
    </row>
    <row r="135" spans="2:4" x14ac:dyDescent="0.35">
      <c r="B135" s="7"/>
      <c r="C135" s="8"/>
      <c r="D135" s="10"/>
    </row>
    <row r="136" spans="2:4" x14ac:dyDescent="0.35">
      <c r="B136" s="7"/>
      <c r="C136" s="8"/>
      <c r="D136" s="10"/>
    </row>
    <row r="137" spans="2:4" x14ac:dyDescent="0.35">
      <c r="B137" s="7"/>
      <c r="C137" s="8"/>
      <c r="D137" s="10"/>
    </row>
    <row r="138" spans="2:4" x14ac:dyDescent="0.35">
      <c r="B138" s="7"/>
      <c r="C138" s="8"/>
      <c r="D138" s="10"/>
    </row>
    <row r="139" spans="2:4" x14ac:dyDescent="0.35">
      <c r="B139" s="7"/>
      <c r="C139" s="8"/>
      <c r="D139" s="10"/>
    </row>
    <row r="140" spans="2:4" x14ac:dyDescent="0.35">
      <c r="B140" s="7"/>
      <c r="C140" s="8"/>
      <c r="D140" s="10"/>
    </row>
    <row r="141" spans="2:4" x14ac:dyDescent="0.35">
      <c r="B141" s="7"/>
      <c r="C141" s="8"/>
      <c r="D141" s="10"/>
    </row>
    <row r="142" spans="2:4" x14ac:dyDescent="0.35">
      <c r="B142" s="7"/>
      <c r="C142" s="8"/>
      <c r="D142" s="10"/>
    </row>
    <row r="143" spans="2:4" x14ac:dyDescent="0.35">
      <c r="B143" s="7"/>
      <c r="C143" s="8"/>
      <c r="D143" s="10"/>
    </row>
    <row r="144" spans="2:4" x14ac:dyDescent="0.35">
      <c r="B144" s="7"/>
      <c r="C144" s="8"/>
      <c r="D144" s="10"/>
    </row>
    <row r="145" spans="2:4" x14ac:dyDescent="0.35">
      <c r="B145" s="7"/>
      <c r="C145" s="8"/>
      <c r="D145" s="10"/>
    </row>
    <row r="146" spans="2:4" x14ac:dyDescent="0.35">
      <c r="B146" s="7"/>
      <c r="C146" s="8"/>
      <c r="D146" s="10"/>
    </row>
    <row r="147" spans="2:4" x14ac:dyDescent="0.35">
      <c r="B147" s="7"/>
      <c r="C147" s="8"/>
      <c r="D147" s="10"/>
    </row>
    <row r="148" spans="2:4" x14ac:dyDescent="0.35">
      <c r="B148" s="7"/>
      <c r="C148" s="8"/>
      <c r="D148" s="10"/>
    </row>
    <row r="149" spans="2:4" x14ac:dyDescent="0.35">
      <c r="B149" s="7"/>
      <c r="C149" s="8"/>
      <c r="D149" s="10"/>
    </row>
    <row r="150" spans="2:4" x14ac:dyDescent="0.35">
      <c r="B150" s="7"/>
      <c r="C150" s="8"/>
      <c r="D150" s="10"/>
    </row>
    <row r="151" spans="2:4" x14ac:dyDescent="0.35">
      <c r="B151" s="7"/>
      <c r="C151" s="8"/>
      <c r="D151" s="10"/>
    </row>
    <row r="152" spans="2:4" x14ac:dyDescent="0.35">
      <c r="B152" s="7"/>
      <c r="C152" s="8"/>
      <c r="D152" s="10"/>
    </row>
    <row r="153" spans="2:4" x14ac:dyDescent="0.35">
      <c r="B153" s="7"/>
      <c r="C153" s="8"/>
      <c r="D153" s="10"/>
    </row>
    <row r="154" spans="2:4" x14ac:dyDescent="0.35">
      <c r="B154" s="7"/>
      <c r="C154" s="8"/>
      <c r="D154" s="10"/>
    </row>
    <row r="155" spans="2:4" x14ac:dyDescent="0.35">
      <c r="B155" s="7"/>
      <c r="C155" s="8"/>
      <c r="D155" s="10"/>
    </row>
    <row r="156" spans="2:4" x14ac:dyDescent="0.35">
      <c r="B156" s="7"/>
      <c r="C156" s="8"/>
      <c r="D156" s="10"/>
    </row>
    <row r="157" spans="2:4" x14ac:dyDescent="0.35">
      <c r="B157" s="7"/>
      <c r="C157" s="8"/>
      <c r="D157" s="10"/>
    </row>
    <row r="158" spans="2:4" x14ac:dyDescent="0.35">
      <c r="B158" s="7"/>
      <c r="C158" s="8"/>
      <c r="D158" s="10"/>
    </row>
    <row r="159" spans="2:4" x14ac:dyDescent="0.35">
      <c r="B159" s="7"/>
      <c r="C159" s="8"/>
      <c r="D159" s="10"/>
    </row>
    <row r="160" spans="2:4" x14ac:dyDescent="0.35">
      <c r="B160" s="7"/>
      <c r="C160" s="8"/>
      <c r="D160" s="10"/>
    </row>
    <row r="161" spans="2:4" x14ac:dyDescent="0.35">
      <c r="B161" s="7"/>
      <c r="C161" s="8"/>
      <c r="D161" s="10"/>
    </row>
    <row r="162" spans="2:4" x14ac:dyDescent="0.35">
      <c r="B162" s="7"/>
      <c r="C162" s="8"/>
      <c r="D162" s="10"/>
    </row>
    <row r="163" spans="2:4" x14ac:dyDescent="0.35">
      <c r="B163" s="7"/>
      <c r="C163" s="8"/>
      <c r="D163" s="10"/>
    </row>
    <row r="164" spans="2:4" x14ac:dyDescent="0.35">
      <c r="B164" s="7"/>
      <c r="C164" s="8"/>
      <c r="D164" s="10"/>
    </row>
    <row r="165" spans="2:4" x14ac:dyDescent="0.35">
      <c r="B165" s="7"/>
      <c r="C165" s="8"/>
      <c r="D165" s="10"/>
    </row>
    <row r="166" spans="2:4" x14ac:dyDescent="0.35">
      <c r="B166" s="7"/>
      <c r="C166" s="8"/>
      <c r="D166" s="10"/>
    </row>
    <row r="167" spans="2:4" x14ac:dyDescent="0.35">
      <c r="B167" s="7"/>
      <c r="C167" s="8"/>
      <c r="D167" s="10"/>
    </row>
    <row r="168" spans="2:4" x14ac:dyDescent="0.35">
      <c r="B168" s="7"/>
      <c r="C168" s="8"/>
      <c r="D168" s="10"/>
    </row>
    <row r="169" spans="2:4" x14ac:dyDescent="0.35">
      <c r="B169" s="7"/>
      <c r="C169" s="8"/>
      <c r="D169" s="10"/>
    </row>
    <row r="170" spans="2:4" x14ac:dyDescent="0.35">
      <c r="B170" s="7"/>
      <c r="C170" s="8"/>
      <c r="D170" s="10"/>
    </row>
    <row r="171" spans="2:4" x14ac:dyDescent="0.35">
      <c r="B171" s="7"/>
      <c r="C171" s="8"/>
      <c r="D171" s="10"/>
    </row>
    <row r="172" spans="2:4" x14ac:dyDescent="0.35">
      <c r="B172" s="7"/>
      <c r="C172" s="8"/>
      <c r="D172" s="10"/>
    </row>
    <row r="173" spans="2:4" x14ac:dyDescent="0.35">
      <c r="B173" s="7"/>
      <c r="C173" s="8"/>
      <c r="D173" s="10"/>
    </row>
    <row r="174" spans="2:4" x14ac:dyDescent="0.35">
      <c r="B174" s="7"/>
      <c r="C174" s="8"/>
      <c r="D174" s="10"/>
    </row>
    <row r="175" spans="2:4" x14ac:dyDescent="0.35">
      <c r="B175" s="7"/>
      <c r="C175" s="8"/>
      <c r="D175" s="10"/>
    </row>
    <row r="176" spans="2:4" x14ac:dyDescent="0.35">
      <c r="B176" s="7"/>
      <c r="C176" s="8"/>
      <c r="D176" s="10"/>
    </row>
    <row r="177" spans="2:4" x14ac:dyDescent="0.35">
      <c r="B177" s="7"/>
      <c r="C177" s="8"/>
      <c r="D177" s="10"/>
    </row>
    <row r="178" spans="2:4" x14ac:dyDescent="0.35">
      <c r="B178" s="7"/>
      <c r="C178" s="8"/>
      <c r="D178" s="10"/>
    </row>
    <row r="179" spans="2:4" x14ac:dyDescent="0.35">
      <c r="B179" s="7"/>
      <c r="C179" s="8"/>
      <c r="D179" s="10"/>
    </row>
    <row r="180" spans="2:4" x14ac:dyDescent="0.35">
      <c r="B180" s="7"/>
      <c r="C180" s="8"/>
      <c r="D180" s="10"/>
    </row>
    <row r="181" spans="2:4" x14ac:dyDescent="0.35">
      <c r="B181" s="7"/>
      <c r="C181" s="8"/>
      <c r="D181" s="10"/>
    </row>
    <row r="182" spans="2:4" x14ac:dyDescent="0.35">
      <c r="B182" s="7"/>
      <c r="C182" s="8"/>
      <c r="D182" s="10"/>
    </row>
    <row r="183" spans="2:4" x14ac:dyDescent="0.35">
      <c r="B183" s="7"/>
      <c r="C183" s="8"/>
      <c r="D183" s="10"/>
    </row>
    <row r="184" spans="2:4" x14ac:dyDescent="0.35">
      <c r="B184" s="7"/>
      <c r="C184" s="8"/>
      <c r="D184" s="10"/>
    </row>
    <row r="185" spans="2:4" x14ac:dyDescent="0.35">
      <c r="B185" s="7"/>
      <c r="C185" s="8"/>
      <c r="D185" s="10"/>
    </row>
    <row r="186" spans="2:4" x14ac:dyDescent="0.35">
      <c r="B186" s="7"/>
      <c r="C186" s="8"/>
      <c r="D186" s="10"/>
    </row>
    <row r="187" spans="2:4" x14ac:dyDescent="0.35">
      <c r="B187" s="7"/>
      <c r="C187" s="8"/>
      <c r="D187" s="10"/>
    </row>
    <row r="188" spans="2:4" x14ac:dyDescent="0.35">
      <c r="B188" s="7"/>
      <c r="C188" s="8"/>
      <c r="D188" s="10"/>
    </row>
    <row r="189" spans="2:4" x14ac:dyDescent="0.35">
      <c r="B189" s="7"/>
      <c r="C189" s="8"/>
      <c r="D189" s="10"/>
    </row>
    <row r="190" spans="2:4" x14ac:dyDescent="0.35">
      <c r="B190" s="7"/>
      <c r="C190" s="8"/>
      <c r="D190" s="10"/>
    </row>
    <row r="191" spans="2:4" x14ac:dyDescent="0.35">
      <c r="B191" s="7"/>
      <c r="C191" s="8"/>
      <c r="D191" s="10"/>
    </row>
    <row r="192" spans="2:4" x14ac:dyDescent="0.35">
      <c r="B192" s="7"/>
      <c r="C192" s="8"/>
      <c r="D192" s="10"/>
    </row>
    <row r="193" spans="2:4" x14ac:dyDescent="0.35">
      <c r="B193" s="7"/>
      <c r="C193" s="8"/>
      <c r="D193" s="10"/>
    </row>
    <row r="194" spans="2:4" x14ac:dyDescent="0.35">
      <c r="B194" s="7"/>
      <c r="C194" s="8"/>
      <c r="D194" s="10"/>
    </row>
    <row r="195" spans="2:4" x14ac:dyDescent="0.35">
      <c r="B195" s="7"/>
      <c r="C195" s="8"/>
      <c r="D195" s="10"/>
    </row>
    <row r="196" spans="2:4" x14ac:dyDescent="0.35">
      <c r="B196" s="7"/>
      <c r="C196" s="8"/>
      <c r="D196" s="10"/>
    </row>
    <row r="197" spans="2:4" x14ac:dyDescent="0.35">
      <c r="B197" s="7"/>
      <c r="C197" s="8"/>
      <c r="D197" s="10"/>
    </row>
    <row r="198" spans="2:4" x14ac:dyDescent="0.35">
      <c r="B198" s="7"/>
      <c r="C198" s="8"/>
      <c r="D198" s="10"/>
    </row>
    <row r="199" spans="2:4" x14ac:dyDescent="0.35">
      <c r="B199" s="7"/>
      <c r="C199" s="8"/>
      <c r="D199" s="10"/>
    </row>
    <row r="200" spans="2:4" x14ac:dyDescent="0.35">
      <c r="B200" s="7"/>
      <c r="C200" s="8"/>
      <c r="D200" s="10"/>
    </row>
    <row r="201" spans="2:4" x14ac:dyDescent="0.35">
      <c r="B201" s="7"/>
      <c r="C201" s="8"/>
      <c r="D201" s="10"/>
    </row>
    <row r="202" spans="2:4" x14ac:dyDescent="0.35">
      <c r="B202" s="7"/>
      <c r="C202" s="8"/>
      <c r="D202" s="10"/>
    </row>
    <row r="203" spans="2:4" x14ac:dyDescent="0.35">
      <c r="B203" s="7"/>
      <c r="C203" s="8"/>
      <c r="D203" s="10"/>
    </row>
    <row r="204" spans="2:4" x14ac:dyDescent="0.35">
      <c r="B204" s="7"/>
      <c r="C204" s="8"/>
      <c r="D204" s="10"/>
    </row>
    <row r="205" spans="2:4" x14ac:dyDescent="0.35">
      <c r="B205" s="7"/>
      <c r="C205" s="8"/>
      <c r="D205" s="10"/>
    </row>
    <row r="206" spans="2:4" x14ac:dyDescent="0.35">
      <c r="B206" s="7"/>
      <c r="C206" s="8"/>
      <c r="D206" s="10"/>
    </row>
    <row r="207" spans="2:4" x14ac:dyDescent="0.35">
      <c r="B207" s="7"/>
      <c r="C207" s="8"/>
      <c r="D207" s="10"/>
    </row>
    <row r="208" spans="2:4" x14ac:dyDescent="0.35">
      <c r="B208" s="7"/>
      <c r="C208" s="8"/>
      <c r="D208" s="10"/>
    </row>
    <row r="209" spans="2:4" x14ac:dyDescent="0.35">
      <c r="B209" s="7"/>
      <c r="C209" s="8"/>
      <c r="D209" s="10"/>
    </row>
    <row r="210" spans="2:4" x14ac:dyDescent="0.35">
      <c r="B210" s="7"/>
      <c r="C210" s="8"/>
      <c r="D210" s="10"/>
    </row>
    <row r="211" spans="2:4" x14ac:dyDescent="0.35">
      <c r="B211" s="7"/>
      <c r="C211" s="8"/>
      <c r="D211" s="10"/>
    </row>
    <row r="212" spans="2:4" x14ac:dyDescent="0.35">
      <c r="B212" s="7"/>
      <c r="C212" s="8"/>
      <c r="D212" s="10"/>
    </row>
    <row r="213" spans="2:4" x14ac:dyDescent="0.35">
      <c r="B213" s="7"/>
      <c r="C213" s="8"/>
      <c r="D213" s="10"/>
    </row>
    <row r="214" spans="2:4" x14ac:dyDescent="0.35">
      <c r="B214" s="7"/>
      <c r="C214" s="8"/>
      <c r="D214" s="10"/>
    </row>
    <row r="215" spans="2:4" x14ac:dyDescent="0.35">
      <c r="B215" s="7"/>
      <c r="C215" s="8"/>
      <c r="D215" s="10"/>
    </row>
    <row r="216" spans="2:4" x14ac:dyDescent="0.35">
      <c r="B216" s="7"/>
      <c r="C216" s="8"/>
      <c r="D216" s="10"/>
    </row>
    <row r="217" spans="2:4" x14ac:dyDescent="0.35">
      <c r="B217" s="7"/>
      <c r="C217" s="8"/>
      <c r="D217" s="10"/>
    </row>
    <row r="218" spans="2:4" x14ac:dyDescent="0.35">
      <c r="B218" s="7"/>
      <c r="C218" s="8"/>
      <c r="D218" s="10"/>
    </row>
    <row r="219" spans="2:4" x14ac:dyDescent="0.35">
      <c r="B219" s="7"/>
      <c r="C219" s="8"/>
      <c r="D219" s="10"/>
    </row>
    <row r="220" spans="2:4" x14ac:dyDescent="0.35">
      <c r="B220" s="7"/>
      <c r="C220" s="8"/>
      <c r="D220" s="10"/>
    </row>
    <row r="221" spans="2:4" x14ac:dyDescent="0.35">
      <c r="B221" s="7"/>
      <c r="C221" s="8"/>
      <c r="D221" s="10"/>
    </row>
    <row r="222" spans="2:4" x14ac:dyDescent="0.35">
      <c r="B222" s="7"/>
      <c r="C222" s="8"/>
      <c r="D222" s="10"/>
    </row>
    <row r="223" spans="2:4" x14ac:dyDescent="0.35">
      <c r="B223" s="7"/>
      <c r="C223" s="8"/>
      <c r="D223" s="10"/>
    </row>
    <row r="224" spans="2:4" x14ac:dyDescent="0.35">
      <c r="B224" s="7"/>
      <c r="C224" s="8"/>
      <c r="D224" s="10"/>
    </row>
    <row r="225" spans="2:4" x14ac:dyDescent="0.35">
      <c r="B225" s="7"/>
      <c r="C225" s="8"/>
      <c r="D225" s="10"/>
    </row>
    <row r="226" spans="2:4" x14ac:dyDescent="0.35">
      <c r="B226" s="7"/>
      <c r="C226" s="8"/>
      <c r="D226" s="10"/>
    </row>
    <row r="227" spans="2:4" x14ac:dyDescent="0.35">
      <c r="B227" s="7"/>
      <c r="C227" s="8"/>
      <c r="D227" s="10"/>
    </row>
    <row r="228" spans="2:4" x14ac:dyDescent="0.35">
      <c r="B228" s="7"/>
      <c r="C228" s="8"/>
      <c r="D228" s="10"/>
    </row>
    <row r="229" spans="2:4" x14ac:dyDescent="0.35">
      <c r="B229" s="7"/>
      <c r="C229" s="8"/>
      <c r="D229" s="10"/>
    </row>
    <row r="230" spans="2:4" x14ac:dyDescent="0.35">
      <c r="B230" s="7"/>
      <c r="C230" s="8"/>
      <c r="D230" s="10"/>
    </row>
    <row r="231" spans="2:4" x14ac:dyDescent="0.35">
      <c r="B231" s="7"/>
      <c r="C231" s="8"/>
      <c r="D231" s="10"/>
    </row>
    <row r="232" spans="2:4" x14ac:dyDescent="0.35">
      <c r="B232" s="7"/>
      <c r="C232" s="8"/>
      <c r="D232" s="10"/>
    </row>
    <row r="233" spans="2:4" x14ac:dyDescent="0.35">
      <c r="B233" s="7"/>
      <c r="C233" s="8"/>
      <c r="D233" s="10"/>
    </row>
    <row r="234" spans="2:4" x14ac:dyDescent="0.35">
      <c r="B234" s="7"/>
      <c r="C234" s="8"/>
      <c r="D234" s="10"/>
    </row>
    <row r="235" spans="2:4" x14ac:dyDescent="0.35">
      <c r="B235" s="7"/>
      <c r="C235" s="8"/>
      <c r="D235" s="10"/>
    </row>
    <row r="236" spans="2:4" x14ac:dyDescent="0.35">
      <c r="B236" s="7"/>
      <c r="C236" s="8"/>
      <c r="D236" s="10"/>
    </row>
    <row r="237" spans="2:4" x14ac:dyDescent="0.35">
      <c r="B237" s="7"/>
      <c r="C237" s="8"/>
      <c r="D237" s="10"/>
    </row>
    <row r="238" spans="2:4" x14ac:dyDescent="0.35">
      <c r="B238" s="7"/>
      <c r="C238" s="8"/>
      <c r="D238" s="10"/>
    </row>
    <row r="239" spans="2:4" x14ac:dyDescent="0.35">
      <c r="B239" s="7"/>
      <c r="C239" s="8"/>
      <c r="D239" s="10"/>
    </row>
    <row r="240" spans="2:4" x14ac:dyDescent="0.35">
      <c r="B240" s="7"/>
      <c r="C240" s="8"/>
      <c r="D240" s="10"/>
    </row>
    <row r="241" spans="2:4" x14ac:dyDescent="0.35">
      <c r="B241" s="7"/>
      <c r="C241" s="8"/>
      <c r="D241" s="10"/>
    </row>
    <row r="242" spans="2:4" x14ac:dyDescent="0.35">
      <c r="B242" s="7"/>
      <c r="C242" s="8"/>
      <c r="D242" s="10"/>
    </row>
    <row r="243" spans="2:4" x14ac:dyDescent="0.35">
      <c r="B243" s="7"/>
      <c r="C243" s="8"/>
      <c r="D243" s="10"/>
    </row>
    <row r="244" spans="2:4" x14ac:dyDescent="0.35">
      <c r="B244" s="7"/>
      <c r="C244" s="8"/>
      <c r="D244" s="10"/>
    </row>
    <row r="245" spans="2:4" x14ac:dyDescent="0.35">
      <c r="B245" s="7"/>
      <c r="C245" s="8"/>
      <c r="D245" s="10"/>
    </row>
    <row r="246" spans="2:4" x14ac:dyDescent="0.35">
      <c r="B246" s="7"/>
      <c r="C246" s="8"/>
      <c r="D246" s="10"/>
    </row>
    <row r="247" spans="2:4" x14ac:dyDescent="0.35">
      <c r="B247" s="7"/>
      <c r="C247" s="8"/>
      <c r="D247" s="10"/>
    </row>
    <row r="248" spans="2:4" x14ac:dyDescent="0.35">
      <c r="B248" s="7"/>
      <c r="C248" s="8"/>
      <c r="D248" s="10"/>
    </row>
    <row r="249" spans="2:4" x14ac:dyDescent="0.35">
      <c r="B249" s="7"/>
      <c r="C249" s="8"/>
      <c r="D249" s="10"/>
    </row>
    <row r="250" spans="2:4" x14ac:dyDescent="0.35">
      <c r="B250" s="7"/>
      <c r="C250" s="8"/>
      <c r="D250" s="10"/>
    </row>
    <row r="251" spans="2:4" x14ac:dyDescent="0.35">
      <c r="B251" s="7"/>
      <c r="C251" s="8"/>
      <c r="D251" s="10"/>
    </row>
    <row r="252" spans="2:4" x14ac:dyDescent="0.35">
      <c r="B252" s="7"/>
      <c r="C252" s="8"/>
      <c r="D252" s="10"/>
    </row>
    <row r="253" spans="2:4" x14ac:dyDescent="0.35">
      <c r="B253" s="7"/>
      <c r="C253" s="8"/>
      <c r="D253" s="10"/>
    </row>
    <row r="254" spans="2:4" x14ac:dyDescent="0.35">
      <c r="B254" s="7"/>
      <c r="C254" s="8"/>
      <c r="D254" s="10"/>
    </row>
    <row r="255" spans="2:4" x14ac:dyDescent="0.35">
      <c r="B255" s="7"/>
      <c r="C255" s="8"/>
      <c r="D255" s="10"/>
    </row>
    <row r="256" spans="2:4" x14ac:dyDescent="0.35">
      <c r="B256" s="7"/>
      <c r="C256" s="8"/>
      <c r="D256" s="10"/>
    </row>
    <row r="257" spans="2:4" x14ac:dyDescent="0.35">
      <c r="B257" s="7"/>
      <c r="C257" s="8"/>
      <c r="D257" s="10"/>
    </row>
    <row r="258" spans="2:4" x14ac:dyDescent="0.35">
      <c r="B258" s="7"/>
      <c r="C258" s="8"/>
      <c r="D258" s="10"/>
    </row>
    <row r="259" spans="2:4" x14ac:dyDescent="0.35">
      <c r="B259" s="7"/>
      <c r="C259" s="8"/>
      <c r="D259" s="10"/>
    </row>
    <row r="260" spans="2:4" x14ac:dyDescent="0.35">
      <c r="B260" s="7"/>
      <c r="C260" s="8"/>
      <c r="D260" s="10"/>
    </row>
    <row r="261" spans="2:4" x14ac:dyDescent="0.35">
      <c r="B261" s="7"/>
      <c r="C261" s="8"/>
      <c r="D261" s="10"/>
    </row>
    <row r="262" spans="2:4" x14ac:dyDescent="0.35">
      <c r="B262" s="7"/>
      <c r="C262" s="8"/>
      <c r="D262" s="10"/>
    </row>
    <row r="263" spans="2:4" x14ac:dyDescent="0.35">
      <c r="B263" s="7"/>
      <c r="C263" s="8"/>
      <c r="D263" s="10"/>
    </row>
    <row r="264" spans="2:4" x14ac:dyDescent="0.35">
      <c r="B264" s="7"/>
      <c r="C264" s="8"/>
      <c r="D264" s="10"/>
    </row>
    <row r="265" spans="2:4" x14ac:dyDescent="0.35">
      <c r="B265" s="7"/>
      <c r="C265" s="8"/>
      <c r="D265" s="10"/>
    </row>
    <row r="266" spans="2:4" x14ac:dyDescent="0.35">
      <c r="B266" s="7"/>
      <c r="C266" s="8"/>
      <c r="D266" s="10"/>
    </row>
    <row r="267" spans="2:4" x14ac:dyDescent="0.35">
      <c r="B267" s="7"/>
      <c r="C267" s="8"/>
      <c r="D267" s="10"/>
    </row>
    <row r="268" spans="2:4" x14ac:dyDescent="0.35">
      <c r="B268" s="7"/>
      <c r="C268" s="8"/>
      <c r="D268" s="10"/>
    </row>
    <row r="269" spans="2:4" x14ac:dyDescent="0.35">
      <c r="B269" s="7"/>
      <c r="C269" s="8"/>
      <c r="D269" s="10"/>
    </row>
    <row r="270" spans="2:4" x14ac:dyDescent="0.35">
      <c r="B270" s="7"/>
      <c r="C270" s="8"/>
      <c r="D270" s="10"/>
    </row>
    <row r="271" spans="2:4" x14ac:dyDescent="0.35">
      <c r="B271" s="7"/>
      <c r="C271" s="8"/>
      <c r="D271" s="10"/>
    </row>
    <row r="272" spans="2:4" x14ac:dyDescent="0.35">
      <c r="B272" s="7"/>
      <c r="C272" s="8"/>
      <c r="D272" s="10"/>
    </row>
    <row r="273" spans="2:4" x14ac:dyDescent="0.35">
      <c r="B273" s="7"/>
      <c r="C273" s="8"/>
      <c r="D273" s="10"/>
    </row>
    <row r="274" spans="2:4" x14ac:dyDescent="0.35">
      <c r="B274" s="7"/>
      <c r="C274" s="8"/>
      <c r="D274" s="10"/>
    </row>
    <row r="275" spans="2:4" x14ac:dyDescent="0.35">
      <c r="B275" s="7"/>
      <c r="C275" s="8"/>
      <c r="D275" s="10"/>
    </row>
    <row r="276" spans="2:4" x14ac:dyDescent="0.35">
      <c r="B276" s="7"/>
      <c r="C276" s="8"/>
      <c r="D276" s="10"/>
    </row>
    <row r="277" spans="2:4" x14ac:dyDescent="0.35">
      <c r="B277" s="7"/>
      <c r="C277" s="8"/>
      <c r="D277" s="10"/>
    </row>
    <row r="278" spans="2:4" x14ac:dyDescent="0.35">
      <c r="B278" s="7"/>
      <c r="C278" s="8"/>
      <c r="D278" s="10"/>
    </row>
    <row r="279" spans="2:4" x14ac:dyDescent="0.35">
      <c r="B279" s="7"/>
      <c r="C279" s="8"/>
      <c r="D279" s="10"/>
    </row>
    <row r="280" spans="2:4" x14ac:dyDescent="0.35">
      <c r="B280" s="7"/>
      <c r="C280" s="8"/>
      <c r="D280" s="10"/>
    </row>
    <row r="281" spans="2:4" x14ac:dyDescent="0.35">
      <c r="B281" s="7"/>
      <c r="C281" s="8"/>
      <c r="D281" s="10"/>
    </row>
    <row r="282" spans="2:4" x14ac:dyDescent="0.35">
      <c r="B282" s="7"/>
      <c r="C282" s="8"/>
      <c r="D282" s="10"/>
    </row>
    <row r="283" spans="2:4" x14ac:dyDescent="0.35">
      <c r="B283" s="7"/>
      <c r="C283" s="8"/>
      <c r="D283" s="10"/>
    </row>
    <row r="284" spans="2:4" x14ac:dyDescent="0.35">
      <c r="B284" s="7"/>
      <c r="C284" s="8"/>
      <c r="D284" s="10"/>
    </row>
    <row r="285" spans="2:4" x14ac:dyDescent="0.35">
      <c r="B285" s="7"/>
      <c r="C285" s="8"/>
      <c r="D285" s="10"/>
    </row>
    <row r="286" spans="2:4" x14ac:dyDescent="0.35">
      <c r="B286" s="7"/>
      <c r="C286" s="8"/>
      <c r="D286" s="10"/>
    </row>
    <row r="287" spans="2:4" x14ac:dyDescent="0.35">
      <c r="B287" s="7"/>
      <c r="C287" s="8"/>
      <c r="D287" s="10"/>
    </row>
    <row r="288" spans="2:4" x14ac:dyDescent="0.35">
      <c r="B288" s="7"/>
      <c r="C288" s="8"/>
      <c r="D288" s="10"/>
    </row>
    <row r="289" spans="2:4" x14ac:dyDescent="0.35">
      <c r="B289" s="7"/>
      <c r="C289" s="8"/>
      <c r="D289" s="10"/>
    </row>
    <row r="290" spans="2:4" x14ac:dyDescent="0.35">
      <c r="B290" s="7"/>
      <c r="C290" s="8"/>
      <c r="D290" s="10"/>
    </row>
    <row r="291" spans="2:4" x14ac:dyDescent="0.35">
      <c r="B291" s="7"/>
      <c r="C291" s="8"/>
      <c r="D291" s="10"/>
    </row>
    <row r="292" spans="2:4" x14ac:dyDescent="0.35">
      <c r="B292" s="7"/>
      <c r="C292" s="8"/>
      <c r="D292" s="10"/>
    </row>
    <row r="293" spans="2:4" x14ac:dyDescent="0.35">
      <c r="B293" s="7"/>
      <c r="C293" s="8"/>
      <c r="D293" s="10"/>
    </row>
    <row r="294" spans="2:4" x14ac:dyDescent="0.35">
      <c r="B294" s="7"/>
      <c r="C294" s="8"/>
      <c r="D294" s="10"/>
    </row>
    <row r="295" spans="2:4" x14ac:dyDescent="0.35">
      <c r="B295" s="7"/>
      <c r="C295" s="8"/>
      <c r="D295" s="10"/>
    </row>
    <row r="296" spans="2:4" x14ac:dyDescent="0.35">
      <c r="B296" s="7"/>
      <c r="C296" s="8"/>
      <c r="D296" s="10"/>
    </row>
    <row r="297" spans="2:4" x14ac:dyDescent="0.35">
      <c r="B297" s="7"/>
      <c r="C297" s="8"/>
      <c r="D297" s="10"/>
    </row>
    <row r="298" spans="2:4" x14ac:dyDescent="0.35">
      <c r="B298" s="7"/>
      <c r="C298" s="8"/>
      <c r="D298" s="10"/>
    </row>
    <row r="299" spans="2:4" x14ac:dyDescent="0.35">
      <c r="B299" s="7"/>
      <c r="C299" s="8"/>
      <c r="D299" s="10"/>
    </row>
    <row r="300" spans="2:4" x14ac:dyDescent="0.35">
      <c r="B300" s="7"/>
      <c r="C300" s="8"/>
      <c r="D300" s="10"/>
    </row>
    <row r="301" spans="2:4" x14ac:dyDescent="0.35">
      <c r="B301" s="7"/>
      <c r="C301" s="8"/>
      <c r="D301" s="10"/>
    </row>
    <row r="302" spans="2:4" x14ac:dyDescent="0.35">
      <c r="B302" s="7"/>
      <c r="C302" s="8"/>
      <c r="D302" s="10"/>
    </row>
    <row r="303" spans="2:4" x14ac:dyDescent="0.35">
      <c r="B303" s="7"/>
      <c r="C303" s="8"/>
      <c r="D303" s="10"/>
    </row>
    <row r="304" spans="2:4" x14ac:dyDescent="0.35">
      <c r="B304" s="7"/>
      <c r="C304" s="8"/>
      <c r="D304" s="10"/>
    </row>
    <row r="305" spans="2:4" x14ac:dyDescent="0.35">
      <c r="B305" s="7"/>
      <c r="C305" s="8"/>
      <c r="D305" s="10"/>
    </row>
    <row r="306" spans="2:4" x14ac:dyDescent="0.35">
      <c r="B306" s="7"/>
      <c r="C306" s="8"/>
      <c r="D306" s="10"/>
    </row>
    <row r="307" spans="2:4" x14ac:dyDescent="0.35">
      <c r="B307" s="7"/>
      <c r="C307" s="8"/>
      <c r="D307" s="10"/>
    </row>
    <row r="308" spans="2:4" x14ac:dyDescent="0.35">
      <c r="B308" s="7"/>
      <c r="C308" s="8"/>
      <c r="D308" s="10"/>
    </row>
    <row r="309" spans="2:4" x14ac:dyDescent="0.35">
      <c r="B309" s="7"/>
      <c r="C309" s="8"/>
      <c r="D309" s="10"/>
    </row>
    <row r="310" spans="2:4" x14ac:dyDescent="0.35">
      <c r="B310" s="7"/>
      <c r="C310" s="8"/>
      <c r="D310" s="10"/>
    </row>
    <row r="311" spans="2:4" x14ac:dyDescent="0.35">
      <c r="B311" s="7"/>
      <c r="C311" s="8"/>
      <c r="D311" s="10"/>
    </row>
    <row r="312" spans="2:4" x14ac:dyDescent="0.35">
      <c r="B312" s="7"/>
      <c r="C312" s="8"/>
      <c r="D312" s="10"/>
    </row>
    <row r="313" spans="2:4" x14ac:dyDescent="0.35">
      <c r="B313" s="7"/>
      <c r="C313" s="8"/>
      <c r="D313" s="10"/>
    </row>
    <row r="314" spans="2:4" x14ac:dyDescent="0.35">
      <c r="B314" s="7"/>
      <c r="C314" s="8"/>
      <c r="D314" s="10"/>
    </row>
    <row r="315" spans="2:4" x14ac:dyDescent="0.35">
      <c r="B315" s="7"/>
      <c r="C315" s="8"/>
      <c r="D315" s="10"/>
    </row>
    <row r="316" spans="2:4" x14ac:dyDescent="0.35">
      <c r="B316" s="7"/>
      <c r="C316" s="8"/>
      <c r="D316" s="10"/>
    </row>
    <row r="317" spans="2:4" x14ac:dyDescent="0.35">
      <c r="B317" s="7"/>
      <c r="C317" s="8"/>
      <c r="D317" s="10"/>
    </row>
    <row r="318" spans="2:4" x14ac:dyDescent="0.35">
      <c r="B318" s="7"/>
      <c r="C318" s="8"/>
      <c r="D318" s="10"/>
    </row>
    <row r="319" spans="2:4" x14ac:dyDescent="0.35">
      <c r="B319" s="7"/>
      <c r="C319" s="8"/>
      <c r="D319" s="10"/>
    </row>
    <row r="320" spans="2:4" x14ac:dyDescent="0.35">
      <c r="B320" s="7"/>
      <c r="C320" s="8"/>
      <c r="D320" s="10"/>
    </row>
    <row r="321" spans="2:4" x14ac:dyDescent="0.35">
      <c r="B321" s="7"/>
      <c r="C321" s="8"/>
      <c r="D321" s="10"/>
    </row>
    <row r="322" spans="2:4" x14ac:dyDescent="0.35">
      <c r="B322" s="7"/>
      <c r="C322" s="8"/>
      <c r="D322" s="10"/>
    </row>
    <row r="323" spans="2:4" x14ac:dyDescent="0.35">
      <c r="B323" s="7"/>
      <c r="C323" s="8"/>
      <c r="D323" s="10"/>
    </row>
    <row r="324" spans="2:4" x14ac:dyDescent="0.35">
      <c r="B324" s="7"/>
      <c r="C324" s="8"/>
      <c r="D324" s="10"/>
    </row>
    <row r="325" spans="2:4" x14ac:dyDescent="0.35">
      <c r="B325" s="7"/>
      <c r="C325" s="8"/>
      <c r="D325" s="10"/>
    </row>
    <row r="326" spans="2:4" x14ac:dyDescent="0.35">
      <c r="B326" s="7"/>
      <c r="C326" s="8"/>
      <c r="D326" s="10"/>
    </row>
    <row r="327" spans="2:4" x14ac:dyDescent="0.35">
      <c r="B327" s="7"/>
      <c r="C327" s="8"/>
      <c r="D327" s="10"/>
    </row>
    <row r="328" spans="2:4" x14ac:dyDescent="0.35">
      <c r="B328" s="7"/>
      <c r="C328" s="8"/>
      <c r="D328" s="10"/>
    </row>
    <row r="329" spans="2:4" x14ac:dyDescent="0.35">
      <c r="B329" s="7"/>
      <c r="C329" s="8"/>
      <c r="D329" s="10"/>
    </row>
    <row r="330" spans="2:4" x14ac:dyDescent="0.35">
      <c r="B330" s="7"/>
      <c r="C330" s="8"/>
      <c r="D330" s="10"/>
    </row>
    <row r="331" spans="2:4" x14ac:dyDescent="0.35">
      <c r="B331" s="7"/>
      <c r="C331" s="8"/>
      <c r="D331" s="10"/>
    </row>
    <row r="332" spans="2:4" x14ac:dyDescent="0.35">
      <c r="B332" s="7"/>
      <c r="C332" s="8"/>
      <c r="D332" s="10"/>
    </row>
    <row r="333" spans="2:4" x14ac:dyDescent="0.35">
      <c r="B333" s="7"/>
      <c r="C333" s="8"/>
      <c r="D333" s="10"/>
    </row>
    <row r="334" spans="2:4" x14ac:dyDescent="0.35">
      <c r="B334" s="7"/>
      <c r="C334" s="8"/>
      <c r="D334" s="10"/>
    </row>
    <row r="335" spans="2:4" x14ac:dyDescent="0.35">
      <c r="B335" s="7"/>
      <c r="C335" s="8"/>
      <c r="D335" s="10"/>
    </row>
    <row r="336" spans="2:4" x14ac:dyDescent="0.35">
      <c r="B336" s="7"/>
      <c r="C336" s="8"/>
      <c r="D336" s="10"/>
    </row>
    <row r="337" spans="2:4" x14ac:dyDescent="0.35">
      <c r="B337" s="7"/>
      <c r="C337" s="8"/>
      <c r="D337" s="10"/>
    </row>
    <row r="338" spans="2:4" x14ac:dyDescent="0.35">
      <c r="B338" s="7"/>
      <c r="C338" s="8"/>
      <c r="D338" s="10"/>
    </row>
    <row r="339" spans="2:4" x14ac:dyDescent="0.35">
      <c r="B339" s="7"/>
      <c r="C339" s="8"/>
      <c r="D339" s="10"/>
    </row>
    <row r="340" spans="2:4" x14ac:dyDescent="0.35">
      <c r="B340" s="7"/>
      <c r="C340" s="8"/>
      <c r="D340" s="10"/>
    </row>
    <row r="341" spans="2:4" x14ac:dyDescent="0.35">
      <c r="B341" s="7"/>
      <c r="C341" s="8"/>
      <c r="D341" s="10"/>
    </row>
    <row r="342" spans="2:4" x14ac:dyDescent="0.35">
      <c r="B342" s="7"/>
      <c r="C342" s="8"/>
      <c r="D342" s="10"/>
    </row>
    <row r="343" spans="2:4" x14ac:dyDescent="0.35">
      <c r="B343" s="7"/>
      <c r="C343" s="8"/>
      <c r="D343" s="10"/>
    </row>
    <row r="344" spans="2:4" x14ac:dyDescent="0.35">
      <c r="B344" s="7"/>
      <c r="C344" s="8"/>
      <c r="D344" s="10"/>
    </row>
    <row r="345" spans="2:4" x14ac:dyDescent="0.35">
      <c r="B345" s="7"/>
      <c r="C345" s="8"/>
      <c r="D345" s="10"/>
    </row>
    <row r="346" spans="2:4" x14ac:dyDescent="0.35">
      <c r="B346" s="7"/>
      <c r="C346" s="8"/>
      <c r="D346" s="10"/>
    </row>
    <row r="347" spans="2:4" x14ac:dyDescent="0.35">
      <c r="B347" s="7"/>
      <c r="C347" s="8"/>
      <c r="D347" s="10"/>
    </row>
    <row r="348" spans="2:4" x14ac:dyDescent="0.35">
      <c r="B348" s="7"/>
      <c r="C348" s="8"/>
      <c r="D348" s="10"/>
    </row>
    <row r="349" spans="2:4" x14ac:dyDescent="0.35">
      <c r="B349" s="7"/>
      <c r="C349" s="8"/>
      <c r="D349" s="10"/>
    </row>
    <row r="350" spans="2:4" x14ac:dyDescent="0.35">
      <c r="B350" s="7"/>
      <c r="C350" s="8"/>
      <c r="D350" s="10"/>
    </row>
    <row r="351" spans="2:4" x14ac:dyDescent="0.35">
      <c r="B351" s="7"/>
      <c r="C351" s="8"/>
      <c r="D351" s="10"/>
    </row>
    <row r="352" spans="2:4" x14ac:dyDescent="0.35">
      <c r="B352" s="7"/>
      <c r="C352" s="8"/>
      <c r="D352" s="10"/>
    </row>
    <row r="353" spans="2:4" x14ac:dyDescent="0.35">
      <c r="B353" s="7"/>
      <c r="C353" s="8"/>
      <c r="D353" s="10"/>
    </row>
    <row r="354" spans="2:4" x14ac:dyDescent="0.35">
      <c r="B354" s="7"/>
      <c r="C354" s="8"/>
      <c r="D354" s="10"/>
    </row>
    <row r="355" spans="2:4" x14ac:dyDescent="0.35">
      <c r="B355" s="7"/>
      <c r="C355" s="8"/>
      <c r="D355" s="10"/>
    </row>
    <row r="356" spans="2:4" x14ac:dyDescent="0.35">
      <c r="B356" s="7"/>
      <c r="C356" s="8"/>
      <c r="D356" s="10"/>
    </row>
    <row r="357" spans="2:4" x14ac:dyDescent="0.35">
      <c r="B357" s="7"/>
      <c r="C357" s="8"/>
      <c r="D357" s="10"/>
    </row>
    <row r="358" spans="2:4" x14ac:dyDescent="0.35">
      <c r="B358" s="7"/>
      <c r="C358" s="8"/>
      <c r="D358" s="10"/>
    </row>
    <row r="359" spans="2:4" x14ac:dyDescent="0.35">
      <c r="B359" s="7"/>
      <c r="C359" s="8"/>
      <c r="D359" s="10"/>
    </row>
    <row r="360" spans="2:4" x14ac:dyDescent="0.35">
      <c r="B360" s="7"/>
      <c r="C360" s="8"/>
      <c r="D360" s="10"/>
    </row>
    <row r="361" spans="2:4" x14ac:dyDescent="0.35">
      <c r="B361" s="7"/>
      <c r="C361" s="8"/>
      <c r="D361" s="10"/>
    </row>
    <row r="362" spans="2:4" x14ac:dyDescent="0.35">
      <c r="B362" s="7"/>
      <c r="C362" s="8"/>
      <c r="D362" s="10"/>
    </row>
    <row r="363" spans="2:4" x14ac:dyDescent="0.35">
      <c r="B363" s="7"/>
      <c r="C363" s="8"/>
      <c r="D363" s="10"/>
    </row>
    <row r="364" spans="2:4" x14ac:dyDescent="0.35">
      <c r="B364" s="7"/>
      <c r="C364" s="8"/>
      <c r="D364" s="10"/>
    </row>
    <row r="365" spans="2:4" x14ac:dyDescent="0.35">
      <c r="B365" s="7"/>
      <c r="C365" s="8"/>
      <c r="D365" s="10"/>
    </row>
    <row r="366" spans="2:4" x14ac:dyDescent="0.35">
      <c r="B366" s="7"/>
      <c r="C366" s="8"/>
      <c r="D366" s="10"/>
    </row>
    <row r="367" spans="2:4" x14ac:dyDescent="0.35">
      <c r="B367" s="7"/>
      <c r="C367" s="8"/>
      <c r="D367" s="10"/>
    </row>
    <row r="368" spans="2:4" x14ac:dyDescent="0.35">
      <c r="B368" s="7"/>
      <c r="C368" s="8"/>
      <c r="D368" s="10"/>
    </row>
    <row r="369" spans="2:4" x14ac:dyDescent="0.35">
      <c r="B369" s="7"/>
      <c r="C369" s="8"/>
      <c r="D369" s="10"/>
    </row>
    <row r="370" spans="2:4" x14ac:dyDescent="0.35">
      <c r="B370" s="7"/>
      <c r="C370" s="8"/>
      <c r="D370" s="10"/>
    </row>
    <row r="371" spans="2:4" x14ac:dyDescent="0.35">
      <c r="B371" s="7"/>
      <c r="C371" s="8"/>
      <c r="D371" s="10"/>
    </row>
    <row r="372" spans="2:4" x14ac:dyDescent="0.35">
      <c r="B372" s="7"/>
      <c r="C372" s="8"/>
      <c r="D372" s="10"/>
    </row>
    <row r="373" spans="2:4" x14ac:dyDescent="0.35">
      <c r="B373" s="7"/>
      <c r="C373" s="8"/>
      <c r="D373" s="10"/>
    </row>
    <row r="374" spans="2:4" x14ac:dyDescent="0.35">
      <c r="B374" s="7"/>
      <c r="C374" s="8"/>
      <c r="D374" s="10"/>
    </row>
    <row r="375" spans="2:4" x14ac:dyDescent="0.35">
      <c r="B375" s="7"/>
      <c r="C375" s="8"/>
      <c r="D375" s="10"/>
    </row>
    <row r="376" spans="2:4" x14ac:dyDescent="0.35">
      <c r="B376" s="7"/>
      <c r="C376" s="8"/>
      <c r="D376" s="10"/>
    </row>
    <row r="377" spans="2:4" x14ac:dyDescent="0.35">
      <c r="B377" s="7"/>
      <c r="C377" s="8"/>
      <c r="D377" s="10"/>
    </row>
    <row r="378" spans="2:4" x14ac:dyDescent="0.35">
      <c r="B378" s="7"/>
      <c r="C378" s="8"/>
      <c r="D378" s="10"/>
    </row>
    <row r="379" spans="2:4" x14ac:dyDescent="0.35">
      <c r="B379" s="7"/>
      <c r="C379" s="8"/>
      <c r="D379" s="10"/>
    </row>
    <row r="380" spans="2:4" x14ac:dyDescent="0.35">
      <c r="B380" s="7"/>
      <c r="C380" s="8"/>
      <c r="D380" s="10"/>
    </row>
    <row r="381" spans="2:4" x14ac:dyDescent="0.35">
      <c r="B381" s="7"/>
      <c r="C381" s="8"/>
      <c r="D381" s="10"/>
    </row>
    <row r="382" spans="2:4" x14ac:dyDescent="0.35">
      <c r="B382" s="7"/>
      <c r="C382" s="8"/>
      <c r="D382" s="10"/>
    </row>
    <row r="383" spans="2:4" x14ac:dyDescent="0.35">
      <c r="B383" s="7"/>
      <c r="C383" s="8"/>
      <c r="D383" s="10"/>
    </row>
    <row r="384" spans="2:4" x14ac:dyDescent="0.35">
      <c r="B384" s="7"/>
      <c r="C384" s="8"/>
      <c r="D384" s="10"/>
    </row>
    <row r="385" spans="2:4" x14ac:dyDescent="0.35">
      <c r="B385" s="7"/>
      <c r="C385" s="8"/>
      <c r="D385" s="10"/>
    </row>
    <row r="386" spans="2:4" x14ac:dyDescent="0.35">
      <c r="B386" s="7"/>
      <c r="C386" s="8"/>
      <c r="D386" s="10"/>
    </row>
    <row r="387" spans="2:4" x14ac:dyDescent="0.35">
      <c r="B387" s="7"/>
      <c r="C387" s="8"/>
      <c r="D387" s="10"/>
    </row>
    <row r="388" spans="2:4" x14ac:dyDescent="0.35">
      <c r="B388" s="7"/>
      <c r="C388" s="8"/>
      <c r="D388" s="10"/>
    </row>
    <row r="389" spans="2:4" x14ac:dyDescent="0.35">
      <c r="B389" s="7"/>
      <c r="C389" s="8"/>
      <c r="D389" s="10"/>
    </row>
    <row r="390" spans="2:4" x14ac:dyDescent="0.35">
      <c r="B390" s="7"/>
      <c r="C390" s="8"/>
      <c r="D390" s="10"/>
    </row>
    <row r="391" spans="2:4" x14ac:dyDescent="0.35">
      <c r="B391" s="7"/>
      <c r="C391" s="8"/>
      <c r="D391" s="10"/>
    </row>
    <row r="392" spans="2:4" x14ac:dyDescent="0.35">
      <c r="B392" s="7"/>
      <c r="C392" s="8"/>
      <c r="D392" s="10"/>
    </row>
    <row r="393" spans="2:4" x14ac:dyDescent="0.35">
      <c r="B393" s="7"/>
      <c r="C393" s="8"/>
      <c r="D393" s="10"/>
    </row>
    <row r="394" spans="2:4" x14ac:dyDescent="0.35">
      <c r="B394" s="7"/>
      <c r="C394" s="8"/>
      <c r="D394" s="10"/>
    </row>
    <row r="395" spans="2:4" x14ac:dyDescent="0.35">
      <c r="B395" s="7"/>
      <c r="C395" s="8"/>
      <c r="D395" s="10"/>
    </row>
    <row r="396" spans="2:4" x14ac:dyDescent="0.35">
      <c r="B396" s="7"/>
      <c r="C396" s="8"/>
      <c r="D396" s="10"/>
    </row>
    <row r="397" spans="2:4" x14ac:dyDescent="0.35">
      <c r="B397" s="7"/>
      <c r="C397" s="8"/>
      <c r="D397" s="10"/>
    </row>
    <row r="398" spans="2:4" x14ac:dyDescent="0.35">
      <c r="B398" s="7"/>
      <c r="C398" s="8"/>
      <c r="D398" s="10"/>
    </row>
    <row r="399" spans="2:4" x14ac:dyDescent="0.35">
      <c r="B399" s="7"/>
      <c r="C399" s="8"/>
      <c r="D399" s="10"/>
    </row>
    <row r="400" spans="2:4" x14ac:dyDescent="0.35">
      <c r="B400" s="11"/>
      <c r="C400" s="3"/>
      <c r="D400" s="12"/>
    </row>
  </sheetData>
  <autoFilter ref="B2:D2" xr:uid="{00000000-0009-0000-0000-000000000000}"/>
  <conditionalFormatting sqref="B3:D400">
    <cfRule type="expression" dxfId="6" priority="1">
      <formula>IF($B3="",0,MOD(ROW(),2))</formula>
    </cfRule>
  </conditionalFormatting>
  <hyperlinks>
    <hyperlink ref="D3" r:id="rId1" xr:uid="{00000000-0004-0000-0000-000000000000}"/>
    <hyperlink ref="D4" r:id="rId2" xr:uid="{00000000-0004-0000-0000-000001000000}"/>
    <hyperlink ref="D5" r:id="rId3" xr:uid="{EECFD2E2-C0DC-46EF-BD4D-649EC0FCCDF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Z2000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8" sqref="B8"/>
    </sheetView>
  </sheetViews>
  <sheetFormatPr defaultRowHeight="14.5" x14ac:dyDescent="0.35"/>
  <cols>
    <col min="1" max="1" width="4.453125" customWidth="1"/>
    <col min="2" max="2" width="19.81640625" bestFit="1" customWidth="1"/>
  </cols>
  <sheetData>
    <row r="2" spans="2:52" x14ac:dyDescent="0.35">
      <c r="C2" s="14" t="s">
        <v>0</v>
      </c>
      <c r="D2" s="14" t="s">
        <v>1</v>
      </c>
      <c r="E2" s="14" t="s">
        <v>2</v>
      </c>
      <c r="F2" s="14" t="s">
        <v>3</v>
      </c>
      <c r="G2" s="14" t="s">
        <v>4</v>
      </c>
      <c r="H2" s="14" t="s">
        <v>5</v>
      </c>
      <c r="I2" s="14" t="s">
        <v>6</v>
      </c>
      <c r="J2" s="14" t="s">
        <v>7</v>
      </c>
      <c r="K2" s="14" t="s">
        <v>8</v>
      </c>
      <c r="L2" s="14" t="s">
        <v>9</v>
      </c>
      <c r="M2" s="14" t="s">
        <v>10</v>
      </c>
      <c r="N2" s="14" t="s">
        <v>11</v>
      </c>
      <c r="O2" s="14" t="s">
        <v>12</v>
      </c>
      <c r="P2" s="14" t="s">
        <v>13</v>
      </c>
      <c r="Q2" s="14" t="s">
        <v>14</v>
      </c>
      <c r="R2" s="14" t="s">
        <v>15</v>
      </c>
      <c r="S2" s="14" t="s">
        <v>16</v>
      </c>
      <c r="T2" s="14" t="s">
        <v>17</v>
      </c>
      <c r="U2" s="14" t="s">
        <v>18</v>
      </c>
      <c r="V2" s="14" t="s">
        <v>19</v>
      </c>
      <c r="W2" s="14" t="s">
        <v>20</v>
      </c>
      <c r="X2" s="14" t="s">
        <v>21</v>
      </c>
      <c r="Y2" s="14" t="s">
        <v>22</v>
      </c>
      <c r="Z2" s="14" t="s">
        <v>23</v>
      </c>
      <c r="AA2" s="14" t="s">
        <v>24</v>
      </c>
      <c r="AB2" s="14" t="s">
        <v>25</v>
      </c>
      <c r="AC2" s="14" t="s">
        <v>26</v>
      </c>
      <c r="AD2" s="14" t="s">
        <v>27</v>
      </c>
      <c r="AE2" s="14" t="s">
        <v>28</v>
      </c>
      <c r="AF2" s="14" t="s">
        <v>29</v>
      </c>
      <c r="AG2" s="14" t="s">
        <v>30</v>
      </c>
      <c r="AH2" s="14" t="s">
        <v>31</v>
      </c>
      <c r="AI2" s="14" t="s">
        <v>32</v>
      </c>
      <c r="AJ2" s="14" t="s">
        <v>33</v>
      </c>
      <c r="AK2" s="14" t="s">
        <v>34</v>
      </c>
      <c r="AL2" s="14" t="s">
        <v>35</v>
      </c>
      <c r="AM2" s="14" t="s">
        <v>36</v>
      </c>
      <c r="AN2" s="14" t="s">
        <v>37</v>
      </c>
      <c r="AO2" s="14" t="s">
        <v>38</v>
      </c>
      <c r="AP2" s="14" t="s">
        <v>39</v>
      </c>
      <c r="AQ2" s="14" t="s">
        <v>40</v>
      </c>
      <c r="AR2" s="14" t="s">
        <v>41</v>
      </c>
      <c r="AS2" s="14" t="s">
        <v>42</v>
      </c>
      <c r="AT2" s="14" t="s">
        <v>43</v>
      </c>
      <c r="AU2" s="14" t="s">
        <v>44</v>
      </c>
      <c r="AV2" s="14" t="s">
        <v>45</v>
      </c>
      <c r="AW2" s="14" t="s">
        <v>46</v>
      </c>
      <c r="AX2" s="14" t="s">
        <v>47</v>
      </c>
      <c r="AY2" s="14" t="s">
        <v>48</v>
      </c>
      <c r="AZ2" s="14" t="s">
        <v>49</v>
      </c>
    </row>
    <row r="3" spans="2:52" x14ac:dyDescent="0.35">
      <c r="B3" s="13" t="s">
        <v>150</v>
      </c>
      <c r="C3" s="13" t="s">
        <v>50</v>
      </c>
      <c r="D3" s="13" t="s">
        <v>51</v>
      </c>
      <c r="E3" s="13" t="s">
        <v>52</v>
      </c>
      <c r="F3" s="13" t="s">
        <v>53</v>
      </c>
      <c r="G3" s="13" t="s">
        <v>54</v>
      </c>
      <c r="H3" s="13" t="s">
        <v>55</v>
      </c>
      <c r="I3" s="13" t="s">
        <v>56</v>
      </c>
      <c r="J3" s="13" t="s">
        <v>57</v>
      </c>
      <c r="K3" s="13" t="s">
        <v>58</v>
      </c>
      <c r="L3" s="13" t="s">
        <v>59</v>
      </c>
      <c r="M3" s="13" t="s">
        <v>60</v>
      </c>
      <c r="N3" s="13" t="s">
        <v>61</v>
      </c>
      <c r="O3" s="13" t="s">
        <v>62</v>
      </c>
      <c r="P3" s="13" t="s">
        <v>63</v>
      </c>
      <c r="Q3" s="13" t="s">
        <v>64</v>
      </c>
      <c r="R3" s="13" t="s">
        <v>65</v>
      </c>
      <c r="S3" s="13" t="s">
        <v>66</v>
      </c>
      <c r="T3" s="13" t="s">
        <v>67</v>
      </c>
      <c r="U3" s="13" t="s">
        <v>68</v>
      </c>
      <c r="V3" s="13" t="s">
        <v>69</v>
      </c>
      <c r="W3" s="13" t="s">
        <v>70</v>
      </c>
      <c r="X3" s="13" t="s">
        <v>71</v>
      </c>
      <c r="Y3" s="13" t="s">
        <v>72</v>
      </c>
      <c r="Z3" s="13" t="s">
        <v>73</v>
      </c>
      <c r="AA3" s="13" t="s">
        <v>74</v>
      </c>
      <c r="AB3" s="13" t="s">
        <v>75</v>
      </c>
      <c r="AC3" s="13" t="s">
        <v>76</v>
      </c>
      <c r="AD3" s="13" t="s">
        <v>77</v>
      </c>
      <c r="AE3" s="13" t="s">
        <v>78</v>
      </c>
      <c r="AF3" s="13" t="s">
        <v>79</v>
      </c>
      <c r="AG3" s="13" t="s">
        <v>80</v>
      </c>
      <c r="AH3" s="13" t="s">
        <v>81</v>
      </c>
      <c r="AI3" s="13" t="s">
        <v>82</v>
      </c>
      <c r="AJ3" s="13" t="s">
        <v>83</v>
      </c>
      <c r="AK3" s="13" t="s">
        <v>84</v>
      </c>
      <c r="AL3" s="13" t="s">
        <v>85</v>
      </c>
      <c r="AM3" s="13" t="s">
        <v>86</v>
      </c>
      <c r="AN3" s="13" t="s">
        <v>87</v>
      </c>
      <c r="AO3" s="13" t="s">
        <v>88</v>
      </c>
      <c r="AP3" s="13" t="s">
        <v>89</v>
      </c>
      <c r="AQ3" s="13" t="s">
        <v>90</v>
      </c>
      <c r="AR3" s="13" t="s">
        <v>91</v>
      </c>
      <c r="AS3" s="13" t="s">
        <v>92</v>
      </c>
      <c r="AT3" s="13" t="s">
        <v>93</v>
      </c>
      <c r="AU3" s="13" t="s">
        <v>94</v>
      </c>
      <c r="AV3" s="13" t="s">
        <v>95</v>
      </c>
      <c r="AW3" s="13" t="s">
        <v>96</v>
      </c>
      <c r="AX3" s="13" t="s">
        <v>97</v>
      </c>
      <c r="AY3" s="13" t="s">
        <v>98</v>
      </c>
      <c r="AZ3" s="13" t="s">
        <v>99</v>
      </c>
    </row>
    <row r="4" spans="2:52" x14ac:dyDescent="0.35">
      <c r="B4" s="4" t="s">
        <v>185</v>
      </c>
      <c r="C4" s="17">
        <f>COUNTIFS(DataDrop!$AP$2:$AP$300,C$3,DataDrop!$AY$2:$AY$300,$B4)</f>
        <v>0</v>
      </c>
      <c r="D4" s="17">
        <f>COUNTIFS(DataDrop!$AP$2:$AP$300,D$3,DataDrop!$AY$2:$AY$300,$B4)</f>
        <v>0</v>
      </c>
      <c r="E4" s="17">
        <f>COUNTIFS(DataDrop!$AP$2:$AP$300,E$3,DataDrop!$AY$2:$AY$300,$B4)</f>
        <v>0</v>
      </c>
      <c r="F4" s="17">
        <f>COUNTIFS(DataDrop!$AP$2:$AP$300,F$3,DataDrop!$AY$2:$AY$300,$B4)</f>
        <v>0</v>
      </c>
      <c r="G4" s="17">
        <f>COUNTIFS(DataDrop!$AP$2:$AP$300,G$3,DataDrop!$AY$2:$AY$300,$B4)</f>
        <v>0</v>
      </c>
      <c r="H4" s="17">
        <f>COUNTIFS(DataDrop!$AP$2:$AP$300,H$3,DataDrop!$AY$2:$AY$300,$B4)</f>
        <v>0</v>
      </c>
      <c r="I4" s="17">
        <f>COUNTIFS(DataDrop!$AP$2:$AP$300,I$3,DataDrop!$AY$2:$AY$300,$B4)</f>
        <v>0</v>
      </c>
      <c r="J4" s="17">
        <f>COUNTIFS(DataDrop!$AP$2:$AP$300,J$3,DataDrop!$AY$2:$AY$300,$B4)</f>
        <v>0</v>
      </c>
      <c r="K4" s="17">
        <f>COUNTIFS(DataDrop!$AP$2:$AP$300,K$3,DataDrop!$AY$2:$AY$300,$B4)</f>
        <v>0</v>
      </c>
      <c r="L4" s="17">
        <f>COUNTIFS(DataDrop!$AP$2:$AP$300,L$3,DataDrop!$AY$2:$AY$300,$B4)</f>
        <v>0</v>
      </c>
      <c r="M4" s="17">
        <f>COUNTIFS(DataDrop!$AP$2:$AP$300,M$3,DataDrop!$AY$2:$AY$300,$B4)</f>
        <v>0</v>
      </c>
      <c r="N4" s="17">
        <f>COUNTIFS(DataDrop!$AP$2:$AP$300,N$3,DataDrop!$AY$2:$AY$300,$B4)</f>
        <v>0</v>
      </c>
      <c r="O4" s="17">
        <f>COUNTIFS(DataDrop!$AP$2:$AP$300,O$3,DataDrop!$AY$2:$AY$300,$B4)</f>
        <v>0</v>
      </c>
      <c r="P4" s="17">
        <f>COUNTIFS(DataDrop!$AP$2:$AP$300,P$3,DataDrop!$AY$2:$AY$300,$B4)</f>
        <v>0</v>
      </c>
      <c r="Q4" s="17">
        <f>COUNTIFS(DataDrop!$AP$2:$AP$300,Q$3,DataDrop!$AY$2:$AY$300,$B4)</f>
        <v>0</v>
      </c>
      <c r="R4" s="17">
        <f>COUNTIFS(DataDrop!$AP$2:$AP$300,R$3,DataDrop!$AY$2:$AY$300,$B4)</f>
        <v>0</v>
      </c>
      <c r="S4" s="17">
        <f>COUNTIFS(DataDrop!$AP$2:$AP$300,S$3,DataDrop!$AY$2:$AY$300,$B4)</f>
        <v>0</v>
      </c>
      <c r="T4" s="17">
        <f>COUNTIFS(DataDrop!$AP$2:$AP$300,T$3,DataDrop!$AY$2:$AY$300,$B4)</f>
        <v>0</v>
      </c>
      <c r="U4" s="17">
        <f>COUNTIFS(DataDrop!$AP$2:$AP$300,U$3,DataDrop!$AY$2:$AY$300,$B4)</f>
        <v>0</v>
      </c>
      <c r="V4" s="17">
        <f>COUNTIFS(DataDrop!$AP$2:$AP$300,V$3,DataDrop!$AY$2:$AY$300,$B4)</f>
        <v>0</v>
      </c>
      <c r="W4" s="17">
        <f>COUNTIFS(DataDrop!$AP$2:$AP$300,W$3,DataDrop!$AY$2:$AY$300,$B4)</f>
        <v>0</v>
      </c>
      <c r="X4" s="17" t="s">
        <v>280</v>
      </c>
      <c r="Y4" s="17">
        <f>COUNTIFS(DataDrop!$AP$2:$AP$300,Y$3,DataDrop!$AY$2:$AY$300,$B4)</f>
        <v>0</v>
      </c>
      <c r="Z4" s="17">
        <f>COUNTIFS(DataDrop!$AP$2:$AP$300,Z$3,DataDrop!$AY$2:$AY$300,$B4)</f>
        <v>0</v>
      </c>
      <c r="AA4" s="17">
        <f>COUNTIFS(DataDrop!$AP$2:$AP$300,AA$3,DataDrop!$AY$2:$AY$300,$B4)</f>
        <v>0</v>
      </c>
      <c r="AB4" s="17">
        <f>COUNTIFS(DataDrop!$AP$2:$AP$300,AB$3,DataDrop!$AY$2:$AY$300,$B4)</f>
        <v>0</v>
      </c>
      <c r="AC4" s="17">
        <f>COUNTIFS(DataDrop!$AP$2:$AP$300,AC$3,DataDrop!$AY$2:$AY$300,$B4)</f>
        <v>0</v>
      </c>
      <c r="AD4" s="17">
        <f>COUNTIFS(DataDrop!$AP$2:$AP$300,AD$3,DataDrop!$AY$2:$AY$300,$B4)</f>
        <v>0</v>
      </c>
      <c r="AE4" s="17">
        <f>COUNTIFS(DataDrop!$AP$2:$AP$300,AE$3,DataDrop!$AY$2:$AY$300,$B4)</f>
        <v>0</v>
      </c>
      <c r="AF4" s="17">
        <f>COUNTIFS(DataDrop!$AP$2:$AP$300,AF$3,DataDrop!$AY$2:$AY$300,$B4)</f>
        <v>0</v>
      </c>
      <c r="AG4" s="17">
        <f>COUNTIFS(DataDrop!$AP$2:$AP$300,AG$3,DataDrop!$AY$2:$AY$300,$B4)</f>
        <v>0</v>
      </c>
      <c r="AH4" s="17">
        <f>COUNTIFS(DataDrop!$AP$2:$AP$300,AH$3,DataDrop!$AY$2:$AY$300,$B4)</f>
        <v>0</v>
      </c>
      <c r="AI4" s="17">
        <f>COUNTIFS(DataDrop!$AP$2:$AP$300,AI$3,DataDrop!$AY$2:$AY$300,$B4)</f>
        <v>0</v>
      </c>
      <c r="AJ4" s="17">
        <f>COUNTIFS(DataDrop!$AP$2:$AP$300,AJ$3,DataDrop!$AY$2:$AY$300,$B4)</f>
        <v>0</v>
      </c>
      <c r="AK4" s="17">
        <f>COUNTIFS(DataDrop!$AP$2:$AP$300,AK$3,DataDrop!$AY$2:$AY$300,$B4)</f>
        <v>0</v>
      </c>
      <c r="AL4" s="17">
        <f>COUNTIFS(DataDrop!$AP$2:$AP$300,AL$3,DataDrop!$AY$2:$AY$300,$B4)</f>
        <v>0</v>
      </c>
      <c r="AM4" s="17">
        <f>COUNTIFS(DataDrop!$AP$2:$AP$300,AM$3,DataDrop!$AY$2:$AY$300,$B4)</f>
        <v>0</v>
      </c>
      <c r="AN4" s="17">
        <f>COUNTIFS(DataDrop!$AP$2:$AP$300,AN$3,DataDrop!$AY$2:$AY$300,$B4)</f>
        <v>0</v>
      </c>
      <c r="AO4" s="17">
        <f>COUNTIFS(DataDrop!$AP$2:$AP$300,AO$3,DataDrop!$AY$2:$AY$300,$B4)</f>
        <v>0</v>
      </c>
      <c r="AP4" s="17">
        <f>COUNTIFS(DataDrop!$AP$2:$AP$300,AP$3,DataDrop!$AY$2:$AY$300,$B4)</f>
        <v>0</v>
      </c>
      <c r="AQ4" s="17">
        <f>COUNTIFS(DataDrop!$AP$2:$AP$300,AQ$3,DataDrop!$AY$2:$AY$300,$B4)</f>
        <v>0</v>
      </c>
      <c r="AR4" s="17">
        <f>COUNTIFS(DataDrop!$AP$2:$AP$300,AR$3,DataDrop!$AY$2:$AY$300,$B4)</f>
        <v>0</v>
      </c>
      <c r="AS4" s="17">
        <f>COUNTIFS(DataDrop!$AP$2:$AP$300,AS$3,DataDrop!$AY$2:$AY$300,$B4)</f>
        <v>0</v>
      </c>
      <c r="AT4" s="17">
        <f>COUNTIFS(DataDrop!$AP$2:$AP$300,AT$3,DataDrop!$AY$2:$AY$300,$B4)</f>
        <v>0</v>
      </c>
      <c r="AU4" s="17">
        <f>COUNTIFS(DataDrop!$AP$2:$AP$300,AU$3,DataDrop!$AY$2:$AY$300,$B4)</f>
        <v>0</v>
      </c>
      <c r="AV4" s="17">
        <f>COUNTIFS(DataDrop!$AP$2:$AP$300,AV$3,DataDrop!$AY$2:$AY$300,$B4)</f>
        <v>0</v>
      </c>
      <c r="AW4" s="17">
        <f>COUNTIFS(DataDrop!$AP$2:$AP$300,AW$3,DataDrop!$AY$2:$AY$300,$B4)</f>
        <v>0</v>
      </c>
      <c r="AX4" s="17">
        <f>COUNTIFS(DataDrop!$AP$2:$AP$300,AX$3,DataDrop!$AY$2:$AY$300,$B4)</f>
        <v>0</v>
      </c>
      <c r="AY4" s="17">
        <f>COUNTIFS(DataDrop!$AP$2:$AP$300,AY$3,DataDrop!$AY$2:$AY$300,$B4)</f>
        <v>0</v>
      </c>
      <c r="AZ4" s="18">
        <f>COUNTIFS(DataDrop!$AP$2:$AP$300,AZ$3,DataDrop!$AY$2:$AY$300,$B4)</f>
        <v>0</v>
      </c>
    </row>
    <row r="5" spans="2:52" x14ac:dyDescent="0.35">
      <c r="B5" s="7" t="s">
        <v>189</v>
      </c>
      <c r="C5" s="19">
        <f>COUNTIFS(DataDrop!$AP$2:$AP$300,C$3,DataDrop!$AY$2:$AY$300,$B5)</f>
        <v>0</v>
      </c>
      <c r="D5" s="19">
        <f>COUNTIFS(DataDrop!$AP$2:$AP$300,D$3,DataDrop!$AY$2:$AY$300,$B5)</f>
        <v>0</v>
      </c>
      <c r="E5" s="19">
        <f>COUNTIFS(DataDrop!$AP$2:$AP$300,E$3,DataDrop!$AY$2:$AY$300,$B5)</f>
        <v>0</v>
      </c>
      <c r="F5" s="19">
        <f>COUNTIFS(DataDrop!$AP$2:$AP$300,F$3,DataDrop!$AY$2:$AY$300,$B5)</f>
        <v>0</v>
      </c>
      <c r="G5" s="19">
        <f>COUNTIFS(DataDrop!$AP$2:$AP$300,G$3,DataDrop!$AY$2:$AY$300,$B5)</f>
        <v>0</v>
      </c>
      <c r="H5" s="19">
        <f>COUNTIFS(DataDrop!$AP$2:$AP$300,H$3,DataDrop!$AY$2:$AY$300,$B5)</f>
        <v>0</v>
      </c>
      <c r="I5" s="19">
        <f>COUNTIFS(DataDrop!$AP$2:$AP$300,I$3,DataDrop!$AY$2:$AY$300,$B5)</f>
        <v>0</v>
      </c>
      <c r="J5" s="19">
        <f>COUNTIFS(DataDrop!$AP$2:$AP$300,J$3,DataDrop!$AY$2:$AY$300,$B5)</f>
        <v>0</v>
      </c>
      <c r="K5" s="19">
        <f>COUNTIFS(DataDrop!$AP$2:$AP$300,K$3,DataDrop!$AY$2:$AY$300,$B5)</f>
        <v>0</v>
      </c>
      <c r="L5" s="19">
        <f>COUNTIFS(DataDrop!$AP$2:$AP$300,L$3,DataDrop!$AY$2:$AY$300,$B5)</f>
        <v>0</v>
      </c>
      <c r="M5" s="19">
        <f>COUNTIFS(DataDrop!$AP$2:$AP$300,M$3,DataDrop!$AY$2:$AY$300,$B5)</f>
        <v>0</v>
      </c>
      <c r="N5" s="19">
        <f>COUNTIFS(DataDrop!$AP$2:$AP$300,N$3,DataDrop!$AY$2:$AY$300,$B5)</f>
        <v>0</v>
      </c>
      <c r="O5" s="19" t="s">
        <v>280</v>
      </c>
      <c r="P5" s="19">
        <f>COUNTIFS(DataDrop!$AP$2:$AP$300,P$3,DataDrop!$AY$2:$AY$300,$B5)</f>
        <v>0</v>
      </c>
      <c r="Q5" s="19">
        <f>COUNTIFS(DataDrop!$AP$2:$AP$300,Q$3,DataDrop!$AY$2:$AY$300,$B5)</f>
        <v>0</v>
      </c>
      <c r="R5" s="19">
        <f>COUNTIFS(DataDrop!$AP$2:$AP$300,R$3,DataDrop!$AY$2:$AY$300,$B5)</f>
        <v>0</v>
      </c>
      <c r="S5" s="19">
        <f>COUNTIFS(DataDrop!$AP$2:$AP$300,S$3,DataDrop!$AY$2:$AY$300,$B5)</f>
        <v>0</v>
      </c>
      <c r="T5" s="19">
        <f>COUNTIFS(DataDrop!$AP$2:$AP$300,T$3,DataDrop!$AY$2:$AY$300,$B5)</f>
        <v>0</v>
      </c>
      <c r="U5" s="19">
        <f>COUNTIFS(DataDrop!$AP$2:$AP$300,U$3,DataDrop!$AY$2:$AY$300,$B5)</f>
        <v>0</v>
      </c>
      <c r="V5" s="19">
        <f>COUNTIFS(DataDrop!$AP$2:$AP$300,V$3,DataDrop!$AY$2:$AY$300,$B5)</f>
        <v>0</v>
      </c>
      <c r="W5" s="19">
        <f>COUNTIFS(DataDrop!$AP$2:$AP$300,W$3,DataDrop!$AY$2:$AY$300,$B5)</f>
        <v>0</v>
      </c>
      <c r="X5" s="19" t="s">
        <v>255</v>
      </c>
      <c r="Y5" s="19">
        <f>COUNTIFS(DataDrop!$AP$2:$AP$300,Y$3,DataDrop!$AY$2:$AY$300,$B5)</f>
        <v>0</v>
      </c>
      <c r="Z5" s="19">
        <f>COUNTIFS(DataDrop!$AP$2:$AP$300,Z$3,DataDrop!$AY$2:$AY$300,$B5)</f>
        <v>0</v>
      </c>
      <c r="AA5" s="19">
        <f>COUNTIFS(DataDrop!$AP$2:$AP$300,AA$3,DataDrop!$AY$2:$AY$300,$B5)</f>
        <v>0</v>
      </c>
      <c r="AB5" s="19">
        <f>COUNTIFS(DataDrop!$AP$2:$AP$300,AB$3,DataDrop!$AY$2:$AY$300,$B5)</f>
        <v>0</v>
      </c>
      <c r="AC5" s="19">
        <f>COUNTIFS(DataDrop!$AP$2:$AP$300,AC$3,DataDrop!$AY$2:$AY$300,$B5)</f>
        <v>0</v>
      </c>
      <c r="AD5" s="19">
        <f>COUNTIFS(DataDrop!$AP$2:$AP$300,AD$3,DataDrop!$AY$2:$AY$300,$B5)</f>
        <v>0</v>
      </c>
      <c r="AE5" s="19">
        <f>COUNTIFS(DataDrop!$AP$2:$AP$300,AE$3,DataDrop!$AY$2:$AY$300,$B5)</f>
        <v>0</v>
      </c>
      <c r="AF5" s="19">
        <f>COUNTIFS(DataDrop!$AP$2:$AP$300,AF$3,DataDrop!$AY$2:$AY$300,$B5)</f>
        <v>0</v>
      </c>
      <c r="AG5" s="19">
        <f>COUNTIFS(DataDrop!$AP$2:$AP$300,AG$3,DataDrop!$AY$2:$AY$300,$B5)</f>
        <v>0</v>
      </c>
      <c r="AH5" s="19">
        <f>COUNTIFS(DataDrop!$AP$2:$AP$300,AH$3,DataDrop!$AY$2:$AY$300,$B5)</f>
        <v>0</v>
      </c>
      <c r="AI5" s="19">
        <f>COUNTIFS(DataDrop!$AP$2:$AP$300,AI$3,DataDrop!$AY$2:$AY$300,$B5)</f>
        <v>0</v>
      </c>
      <c r="AJ5" s="19">
        <f>COUNTIFS(DataDrop!$AP$2:$AP$300,AJ$3,DataDrop!$AY$2:$AY$300,$B5)</f>
        <v>0</v>
      </c>
      <c r="AK5" s="19">
        <f>COUNTIFS(DataDrop!$AP$2:$AP$300,AK$3,DataDrop!$AY$2:$AY$300,$B5)</f>
        <v>0</v>
      </c>
      <c r="AL5" s="19">
        <f>COUNTIFS(DataDrop!$AP$2:$AP$300,AL$3,DataDrop!$AY$2:$AY$300,$B5)</f>
        <v>0</v>
      </c>
      <c r="AM5" s="19">
        <f>COUNTIFS(DataDrop!$AP$2:$AP$300,AM$3,DataDrop!$AY$2:$AY$300,$B5)</f>
        <v>0</v>
      </c>
      <c r="AN5" s="19" t="s">
        <v>280</v>
      </c>
      <c r="AO5" s="19">
        <f>COUNTIFS(DataDrop!$AP$2:$AP$300,AO$3,DataDrop!$AY$2:$AY$300,$B5)</f>
        <v>0</v>
      </c>
      <c r="AP5" s="19">
        <f>COUNTIFS(DataDrop!$AP$2:$AP$300,AP$3,DataDrop!$AY$2:$AY$300,$B5)</f>
        <v>0</v>
      </c>
      <c r="AQ5" s="19">
        <f>COUNTIFS(DataDrop!$AP$2:$AP$300,AQ$3,DataDrop!$AY$2:$AY$300,$B5)</f>
        <v>0</v>
      </c>
      <c r="AR5" s="19">
        <f>COUNTIFS(DataDrop!$AP$2:$AP$300,AR$3,DataDrop!$AY$2:$AY$300,$B5)</f>
        <v>0</v>
      </c>
      <c r="AS5" s="19">
        <f>COUNTIFS(DataDrop!$AP$2:$AP$300,AS$3,DataDrop!$AY$2:$AY$300,$B5)</f>
        <v>0</v>
      </c>
      <c r="AT5" s="19">
        <f>COUNTIFS(DataDrop!$AP$2:$AP$300,AT$3,DataDrop!$AY$2:$AY$300,$B5)</f>
        <v>0</v>
      </c>
      <c r="AU5" s="19">
        <f>COUNTIFS(DataDrop!$AP$2:$AP$300,AU$3,DataDrop!$AY$2:$AY$300,$B5)</f>
        <v>0</v>
      </c>
      <c r="AV5" s="19">
        <f>COUNTIFS(DataDrop!$AP$2:$AP$300,AV$3,DataDrop!$AY$2:$AY$300,$B5)</f>
        <v>0</v>
      </c>
      <c r="AW5" s="19">
        <f>COUNTIFS(DataDrop!$AP$2:$AP$300,AW$3,DataDrop!$AY$2:$AY$300,$B5)</f>
        <v>0</v>
      </c>
      <c r="AX5" s="19">
        <f>COUNTIFS(DataDrop!$AP$2:$AP$300,AX$3,DataDrop!$AY$2:$AY$300,$B5)</f>
        <v>0</v>
      </c>
      <c r="AY5" s="19">
        <f>COUNTIFS(DataDrop!$AP$2:$AP$300,AY$3,DataDrop!$AY$2:$AY$300,$B5)</f>
        <v>0</v>
      </c>
      <c r="AZ5" s="20">
        <f>COUNTIFS(DataDrop!$AP$2:$AP$300,AZ$3,DataDrop!$AY$2:$AY$300,$B5)</f>
        <v>0</v>
      </c>
    </row>
    <row r="6" spans="2:52" x14ac:dyDescent="0.35">
      <c r="B6" s="7" t="s">
        <v>194</v>
      </c>
      <c r="C6" s="19">
        <f>COUNTIFS(DataDrop!$AP$2:$AP$300,C$3,DataDrop!$AY$2:$AY$300,$B6)</f>
        <v>0</v>
      </c>
      <c r="D6" s="19">
        <f>COUNTIFS(DataDrop!$AP$2:$AP$300,D$3,DataDrop!$AY$2:$AY$300,$B6)</f>
        <v>0</v>
      </c>
      <c r="E6" s="19">
        <f>COUNTIFS(DataDrop!$AP$2:$AP$300,E$3,DataDrop!$AY$2:$AY$300,$B6)</f>
        <v>0</v>
      </c>
      <c r="F6" s="19">
        <f>COUNTIFS(DataDrop!$AP$2:$AP$300,F$3,DataDrop!$AY$2:$AY$300,$B6)</f>
        <v>0</v>
      </c>
      <c r="G6" s="19">
        <f>COUNTIFS(DataDrop!$AP$2:$AP$300,G$3,DataDrop!$AY$2:$AY$300,$B6)</f>
        <v>0</v>
      </c>
      <c r="H6" s="19">
        <f>COUNTIFS(DataDrop!$AP$2:$AP$300,H$3,DataDrop!$AY$2:$AY$300,$B6)</f>
        <v>0</v>
      </c>
      <c r="I6" s="19">
        <f>COUNTIFS(DataDrop!$AP$2:$AP$300,I$3,DataDrop!$AY$2:$AY$300,$B6)</f>
        <v>0</v>
      </c>
      <c r="J6" s="19">
        <f>COUNTIFS(DataDrop!$AP$2:$AP$300,J$3,DataDrop!$AY$2:$AY$300,$B6)</f>
        <v>0</v>
      </c>
      <c r="K6" s="19">
        <f>COUNTIFS(DataDrop!$AP$2:$AP$300,K$3,DataDrop!$AY$2:$AY$300,$B6)</f>
        <v>0</v>
      </c>
      <c r="L6" s="19">
        <f>COUNTIFS(DataDrop!$AP$2:$AP$300,L$3,DataDrop!$AY$2:$AY$300,$B6)</f>
        <v>0</v>
      </c>
      <c r="M6" s="19">
        <f>COUNTIFS(DataDrop!$AP$2:$AP$300,M$3,DataDrop!$AY$2:$AY$300,$B6)</f>
        <v>0</v>
      </c>
      <c r="N6" s="19">
        <f>COUNTIFS(DataDrop!$AP$2:$AP$300,N$3,DataDrop!$AY$2:$AY$300,$B6)</f>
        <v>0</v>
      </c>
      <c r="O6" s="19">
        <f>COUNTIFS(DataDrop!$AP$2:$AP$300,O$3,DataDrop!$AY$2:$AY$300,$B6)</f>
        <v>0</v>
      </c>
      <c r="P6" s="19">
        <f>COUNTIFS(DataDrop!$AP$2:$AP$300,P$3,DataDrop!$AY$2:$AY$300,$B6)</f>
        <v>0</v>
      </c>
      <c r="Q6" s="19">
        <f>COUNTIFS(DataDrop!$AP$2:$AP$300,Q$3,DataDrop!$AY$2:$AY$300,$B6)</f>
        <v>0</v>
      </c>
      <c r="R6" s="19">
        <f>COUNTIFS(DataDrop!$AP$2:$AP$300,R$3,DataDrop!$AY$2:$AY$300,$B6)</f>
        <v>0</v>
      </c>
      <c r="S6" s="19">
        <f>COUNTIFS(DataDrop!$AP$2:$AP$300,S$3,DataDrop!$AY$2:$AY$300,$B6)</f>
        <v>0</v>
      </c>
      <c r="T6" s="19">
        <f>COUNTIFS(DataDrop!$AP$2:$AP$300,T$3,DataDrop!$AY$2:$AY$300,$B6)</f>
        <v>0</v>
      </c>
      <c r="U6" s="19">
        <f>COUNTIFS(DataDrop!$AP$2:$AP$300,U$3,DataDrop!$AY$2:$AY$300,$B6)</f>
        <v>0</v>
      </c>
      <c r="V6" s="19">
        <f>COUNTIFS(DataDrop!$AP$2:$AP$300,V$3,DataDrop!$AY$2:$AY$300,$B6)</f>
        <v>0</v>
      </c>
      <c r="W6" s="19">
        <f>COUNTIFS(DataDrop!$AP$2:$AP$300,W$3,DataDrop!$AY$2:$AY$300,$B6)</f>
        <v>0</v>
      </c>
      <c r="X6" s="19" t="s">
        <v>255</v>
      </c>
      <c r="Y6" s="19">
        <f>COUNTIFS(DataDrop!$AP$2:$AP$300,Y$3,DataDrop!$AY$2:$AY$300,$B6)</f>
        <v>0</v>
      </c>
      <c r="Z6" s="19">
        <f>COUNTIFS(DataDrop!$AP$2:$AP$300,Z$3,DataDrop!$AY$2:$AY$300,$B6)</f>
        <v>0</v>
      </c>
      <c r="AA6" s="19">
        <f>COUNTIFS(DataDrop!$AP$2:$AP$300,AA$3,DataDrop!$AY$2:$AY$300,$B6)</f>
        <v>0</v>
      </c>
      <c r="AB6" s="19">
        <f>COUNTIFS(DataDrop!$AP$2:$AP$300,AB$3,DataDrop!$AY$2:$AY$300,$B6)</f>
        <v>0</v>
      </c>
      <c r="AC6" s="19">
        <f>COUNTIFS(DataDrop!$AP$2:$AP$300,AC$3,DataDrop!$AY$2:$AY$300,$B6)</f>
        <v>0</v>
      </c>
      <c r="AD6" s="19">
        <f>COUNTIFS(DataDrop!$AP$2:$AP$300,AD$3,DataDrop!$AY$2:$AY$300,$B6)</f>
        <v>0</v>
      </c>
      <c r="AE6" s="19">
        <f>COUNTIFS(DataDrop!$AP$2:$AP$300,AE$3,DataDrop!$AY$2:$AY$300,$B6)</f>
        <v>0</v>
      </c>
      <c r="AF6" s="19">
        <f>COUNTIFS(DataDrop!$AP$2:$AP$300,AF$3,DataDrop!$AY$2:$AY$300,$B6)</f>
        <v>0</v>
      </c>
      <c r="AG6" s="19">
        <f>COUNTIFS(DataDrop!$AP$2:$AP$300,AG$3,DataDrop!$AY$2:$AY$300,$B6)</f>
        <v>0</v>
      </c>
      <c r="AH6" s="19">
        <f>COUNTIFS(DataDrop!$AP$2:$AP$300,AH$3,DataDrop!$AY$2:$AY$300,$B6)</f>
        <v>0</v>
      </c>
      <c r="AI6" s="19">
        <f>COUNTIFS(DataDrop!$AP$2:$AP$300,AI$3,DataDrop!$AY$2:$AY$300,$B6)</f>
        <v>0</v>
      </c>
      <c r="AJ6" s="19">
        <f>COUNTIFS(DataDrop!$AP$2:$AP$300,AJ$3,DataDrop!$AY$2:$AY$300,$B6)</f>
        <v>0</v>
      </c>
      <c r="AK6" s="19">
        <f>COUNTIFS(DataDrop!$AP$2:$AP$300,AK$3,DataDrop!$AY$2:$AY$300,$B6)</f>
        <v>0</v>
      </c>
      <c r="AL6" s="19">
        <f>COUNTIFS(DataDrop!$AP$2:$AP$300,AL$3,DataDrop!$AY$2:$AY$300,$B6)</f>
        <v>0</v>
      </c>
      <c r="AM6" s="19">
        <f>COUNTIFS(DataDrop!$AP$2:$AP$300,AM$3,DataDrop!$AY$2:$AY$300,$B6)</f>
        <v>0</v>
      </c>
      <c r="AN6" s="19">
        <f>COUNTIFS(DataDrop!$AP$2:$AP$300,AN$3,DataDrop!$AY$2:$AY$300,$B6)</f>
        <v>0</v>
      </c>
      <c r="AO6" s="19">
        <f>COUNTIFS(DataDrop!$AP$2:$AP$300,AO$3,DataDrop!$AY$2:$AY$300,$B6)</f>
        <v>0</v>
      </c>
      <c r="AP6" s="19">
        <f>COUNTIFS(DataDrop!$AP$2:$AP$300,AP$3,DataDrop!$AY$2:$AY$300,$B6)</f>
        <v>0</v>
      </c>
      <c r="AQ6" s="19">
        <f>COUNTIFS(DataDrop!$AP$2:$AP$300,AQ$3,DataDrop!$AY$2:$AY$300,$B6)</f>
        <v>0</v>
      </c>
      <c r="AR6" s="19">
        <f>COUNTIFS(DataDrop!$AP$2:$AP$300,AR$3,DataDrop!$AY$2:$AY$300,$B6)</f>
        <v>0</v>
      </c>
      <c r="AS6" s="19">
        <f>COUNTIFS(DataDrop!$AP$2:$AP$300,AS$3,DataDrop!$AY$2:$AY$300,$B6)</f>
        <v>0</v>
      </c>
      <c r="AT6" s="19">
        <f>COUNTIFS(DataDrop!$AP$2:$AP$300,AT$3,DataDrop!$AY$2:$AY$300,$B6)</f>
        <v>0</v>
      </c>
      <c r="AU6" s="19">
        <f>COUNTIFS(DataDrop!$AP$2:$AP$300,AU$3,DataDrop!$AY$2:$AY$300,$B6)</f>
        <v>0</v>
      </c>
      <c r="AV6" s="19">
        <f>COUNTIFS(DataDrop!$AP$2:$AP$300,AV$3,DataDrop!$AY$2:$AY$300,$B6)</f>
        <v>0</v>
      </c>
      <c r="AW6" s="19">
        <f>COUNTIFS(DataDrop!$AP$2:$AP$300,AW$3,DataDrop!$AY$2:$AY$300,$B6)</f>
        <v>0</v>
      </c>
      <c r="AX6" s="19">
        <f>COUNTIFS(DataDrop!$AP$2:$AP$300,AX$3,DataDrop!$AY$2:$AY$300,$B6)</f>
        <v>0</v>
      </c>
      <c r="AY6" s="19">
        <f>COUNTIFS(DataDrop!$AP$2:$AP$300,AY$3,DataDrop!$AY$2:$AY$300,$B6)</f>
        <v>0</v>
      </c>
      <c r="AZ6" s="20">
        <f>COUNTIFS(DataDrop!$AP$2:$AP$300,AZ$3,DataDrop!$AY$2:$AY$300,$B6)</f>
        <v>0</v>
      </c>
    </row>
    <row r="7" spans="2:52" x14ac:dyDescent="0.35">
      <c r="B7" s="7" t="s">
        <v>292</v>
      </c>
      <c r="C7" s="8"/>
      <c r="D7" s="8"/>
      <c r="E7" s="8"/>
      <c r="F7" s="8"/>
      <c r="G7" s="8" t="s">
        <v>211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10"/>
    </row>
    <row r="8" spans="2:52" x14ac:dyDescent="0.35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10"/>
    </row>
    <row r="9" spans="2:52" x14ac:dyDescent="0.35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10"/>
    </row>
    <row r="10" spans="2:52" x14ac:dyDescent="0.35"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10"/>
    </row>
    <row r="11" spans="2:52" x14ac:dyDescent="0.35"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10"/>
    </row>
    <row r="12" spans="2:52" x14ac:dyDescent="0.35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10"/>
    </row>
    <row r="13" spans="2:52" x14ac:dyDescent="0.35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10"/>
    </row>
    <row r="14" spans="2:52" x14ac:dyDescent="0.35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10"/>
    </row>
    <row r="15" spans="2:52" x14ac:dyDescent="0.35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10"/>
    </row>
    <row r="16" spans="2:52" x14ac:dyDescent="0.35"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10"/>
    </row>
    <row r="17" spans="2:52" x14ac:dyDescent="0.35"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10"/>
    </row>
    <row r="18" spans="2:52" x14ac:dyDescent="0.35"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10"/>
    </row>
    <row r="19" spans="2:52" x14ac:dyDescent="0.35"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10"/>
    </row>
    <row r="20" spans="2:52" x14ac:dyDescent="0.35"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10"/>
    </row>
    <row r="21" spans="2:52" x14ac:dyDescent="0.35"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10"/>
    </row>
    <row r="22" spans="2:52" x14ac:dyDescent="0.35"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10"/>
    </row>
    <row r="23" spans="2:52" x14ac:dyDescent="0.35"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10"/>
    </row>
    <row r="24" spans="2:52" x14ac:dyDescent="0.35"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10"/>
    </row>
    <row r="25" spans="2:52" x14ac:dyDescent="0.35"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10"/>
    </row>
    <row r="26" spans="2:52" x14ac:dyDescent="0.35"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10"/>
    </row>
    <row r="27" spans="2:52" x14ac:dyDescent="0.35"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10"/>
    </row>
    <row r="28" spans="2:52" x14ac:dyDescent="0.35"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10"/>
    </row>
    <row r="29" spans="2:52" x14ac:dyDescent="0.35"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10"/>
    </row>
    <row r="30" spans="2:52" x14ac:dyDescent="0.35"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10"/>
    </row>
    <row r="31" spans="2:52" x14ac:dyDescent="0.35"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10"/>
    </row>
    <row r="32" spans="2:52" x14ac:dyDescent="0.35"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10"/>
    </row>
    <row r="33" spans="2:52" x14ac:dyDescent="0.35"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10"/>
    </row>
    <row r="34" spans="2:52" x14ac:dyDescent="0.35"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10"/>
    </row>
    <row r="35" spans="2:52" x14ac:dyDescent="0.35"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10"/>
    </row>
    <row r="36" spans="2:52" x14ac:dyDescent="0.35"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10"/>
    </row>
    <row r="37" spans="2:52" x14ac:dyDescent="0.35"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10"/>
    </row>
    <row r="38" spans="2:52" x14ac:dyDescent="0.35"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10"/>
    </row>
    <row r="39" spans="2:52" x14ac:dyDescent="0.35"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10"/>
    </row>
    <row r="40" spans="2:52" x14ac:dyDescent="0.35"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10"/>
    </row>
    <row r="41" spans="2:52" x14ac:dyDescent="0.35"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10"/>
    </row>
    <row r="42" spans="2:52" x14ac:dyDescent="0.35"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10"/>
    </row>
    <row r="43" spans="2:52" x14ac:dyDescent="0.35"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10"/>
    </row>
    <row r="44" spans="2:52" x14ac:dyDescent="0.35"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10"/>
    </row>
    <row r="45" spans="2:52" x14ac:dyDescent="0.35"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10"/>
    </row>
    <row r="46" spans="2:52" x14ac:dyDescent="0.35"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10"/>
    </row>
    <row r="47" spans="2:52" x14ac:dyDescent="0.35"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10"/>
    </row>
    <row r="48" spans="2:52" x14ac:dyDescent="0.35"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10"/>
    </row>
    <row r="49" spans="2:52" x14ac:dyDescent="0.35"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10"/>
    </row>
    <row r="50" spans="2:52" x14ac:dyDescent="0.35"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10"/>
    </row>
    <row r="51" spans="2:52" x14ac:dyDescent="0.35"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10"/>
    </row>
    <row r="52" spans="2:52" x14ac:dyDescent="0.35"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10"/>
    </row>
    <row r="53" spans="2:52" x14ac:dyDescent="0.35"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10"/>
    </row>
    <row r="54" spans="2:52" x14ac:dyDescent="0.35"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10"/>
    </row>
    <row r="55" spans="2:52" x14ac:dyDescent="0.35"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10"/>
    </row>
    <row r="56" spans="2:52" x14ac:dyDescent="0.35">
      <c r="B56" s="7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10"/>
    </row>
    <row r="57" spans="2:52" x14ac:dyDescent="0.35"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10"/>
    </row>
    <row r="58" spans="2:52" x14ac:dyDescent="0.35">
      <c r="B58" s="7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10"/>
    </row>
    <row r="59" spans="2:52" x14ac:dyDescent="0.35"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10"/>
    </row>
    <row r="60" spans="2:52" x14ac:dyDescent="0.35"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10"/>
    </row>
    <row r="61" spans="2:52" x14ac:dyDescent="0.35">
      <c r="B61" s="7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10"/>
    </row>
    <row r="62" spans="2:52" x14ac:dyDescent="0.35">
      <c r="B62" s="7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10"/>
    </row>
    <row r="63" spans="2:52" x14ac:dyDescent="0.35"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10"/>
    </row>
    <row r="64" spans="2:52" x14ac:dyDescent="0.35"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10"/>
    </row>
    <row r="65" spans="2:52" x14ac:dyDescent="0.35"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10"/>
    </row>
    <row r="66" spans="2:52" x14ac:dyDescent="0.35">
      <c r="B66" s="7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10"/>
    </row>
    <row r="67" spans="2:52" x14ac:dyDescent="0.35">
      <c r="B67" s="7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10"/>
    </row>
    <row r="68" spans="2:52" x14ac:dyDescent="0.35">
      <c r="B68" s="7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10"/>
    </row>
    <row r="69" spans="2:52" x14ac:dyDescent="0.35">
      <c r="B69" s="7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10"/>
    </row>
    <row r="70" spans="2:52" x14ac:dyDescent="0.35">
      <c r="B70" s="7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10"/>
    </row>
    <row r="71" spans="2:52" x14ac:dyDescent="0.35">
      <c r="B71" s="7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10"/>
    </row>
    <row r="72" spans="2:52" x14ac:dyDescent="0.35"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10"/>
    </row>
    <row r="73" spans="2:52" x14ac:dyDescent="0.35">
      <c r="B73" s="7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10"/>
    </row>
    <row r="74" spans="2:52" x14ac:dyDescent="0.35">
      <c r="B74" s="7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10"/>
    </row>
    <row r="75" spans="2:52" x14ac:dyDescent="0.35">
      <c r="B75" s="7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10"/>
    </row>
    <row r="76" spans="2:52" x14ac:dyDescent="0.35">
      <c r="B76" s="7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10"/>
    </row>
    <row r="77" spans="2:52" x14ac:dyDescent="0.35">
      <c r="B77" s="7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10"/>
    </row>
    <row r="78" spans="2:52" x14ac:dyDescent="0.35"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10"/>
    </row>
    <row r="79" spans="2:52" x14ac:dyDescent="0.35">
      <c r="B79" s="7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10"/>
    </row>
    <row r="80" spans="2:52" x14ac:dyDescent="0.35">
      <c r="B80" s="7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10"/>
    </row>
    <row r="81" spans="2:52" x14ac:dyDescent="0.35"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10"/>
    </row>
    <row r="82" spans="2:52" x14ac:dyDescent="0.35">
      <c r="B82" s="7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10"/>
    </row>
    <row r="83" spans="2:52" x14ac:dyDescent="0.35">
      <c r="B83" s="7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10"/>
    </row>
    <row r="84" spans="2:52" x14ac:dyDescent="0.35">
      <c r="B84" s="7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10"/>
    </row>
    <row r="85" spans="2:52" x14ac:dyDescent="0.35">
      <c r="B85" s="7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10"/>
    </row>
    <row r="86" spans="2:52" x14ac:dyDescent="0.35">
      <c r="B86" s="7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10"/>
    </row>
    <row r="87" spans="2:52" x14ac:dyDescent="0.35"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10"/>
    </row>
    <row r="88" spans="2:52" x14ac:dyDescent="0.35"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10"/>
    </row>
    <row r="89" spans="2:52" x14ac:dyDescent="0.35">
      <c r="B89" s="7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10"/>
    </row>
    <row r="90" spans="2:52" x14ac:dyDescent="0.35">
      <c r="B90" s="7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10"/>
    </row>
    <row r="91" spans="2:52" x14ac:dyDescent="0.35">
      <c r="B91" s="7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10"/>
    </row>
    <row r="92" spans="2:52" x14ac:dyDescent="0.35"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10"/>
    </row>
    <row r="93" spans="2:52" x14ac:dyDescent="0.35">
      <c r="B93" s="7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10"/>
    </row>
    <row r="94" spans="2:52" x14ac:dyDescent="0.35">
      <c r="B94" s="7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10"/>
    </row>
    <row r="95" spans="2:52" x14ac:dyDescent="0.35">
      <c r="B95" s="7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10"/>
    </row>
    <row r="96" spans="2:52" x14ac:dyDescent="0.35">
      <c r="B96" s="7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10"/>
    </row>
    <row r="97" spans="2:52" x14ac:dyDescent="0.35">
      <c r="B97" s="7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10"/>
    </row>
    <row r="98" spans="2:52" x14ac:dyDescent="0.35">
      <c r="B98" s="7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10"/>
    </row>
    <row r="99" spans="2:52" x14ac:dyDescent="0.35">
      <c r="B99" s="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10"/>
    </row>
    <row r="100" spans="2:52" x14ac:dyDescent="0.35"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10"/>
    </row>
    <row r="101" spans="2:52" x14ac:dyDescent="0.35"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10"/>
    </row>
    <row r="102" spans="2:52" x14ac:dyDescent="0.35"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10"/>
    </row>
    <row r="103" spans="2:52" x14ac:dyDescent="0.35"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10"/>
    </row>
    <row r="104" spans="2:52" x14ac:dyDescent="0.35"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10"/>
    </row>
    <row r="105" spans="2:52" x14ac:dyDescent="0.35"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10"/>
    </row>
    <row r="106" spans="2:52" x14ac:dyDescent="0.35"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10"/>
    </row>
    <row r="107" spans="2:52" x14ac:dyDescent="0.35"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10"/>
    </row>
    <row r="108" spans="2:52" x14ac:dyDescent="0.35"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10"/>
    </row>
    <row r="109" spans="2:52" x14ac:dyDescent="0.35"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10"/>
    </row>
    <row r="110" spans="2:52" x14ac:dyDescent="0.35"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10"/>
    </row>
    <row r="111" spans="2:52" x14ac:dyDescent="0.35"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10"/>
    </row>
    <row r="112" spans="2:52" x14ac:dyDescent="0.35"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10"/>
    </row>
    <row r="113" spans="2:52" x14ac:dyDescent="0.35"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10"/>
    </row>
    <row r="114" spans="2:52" x14ac:dyDescent="0.35"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10"/>
    </row>
    <row r="115" spans="2:52" x14ac:dyDescent="0.35"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10"/>
    </row>
    <row r="116" spans="2:52" x14ac:dyDescent="0.35"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10"/>
    </row>
    <row r="117" spans="2:52" x14ac:dyDescent="0.35"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10"/>
    </row>
    <row r="118" spans="2:52" x14ac:dyDescent="0.35"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10"/>
    </row>
    <row r="119" spans="2:52" x14ac:dyDescent="0.35"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10"/>
    </row>
    <row r="120" spans="2:52" x14ac:dyDescent="0.35"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10"/>
    </row>
    <row r="121" spans="2:52" x14ac:dyDescent="0.35"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10"/>
    </row>
    <row r="122" spans="2:52" x14ac:dyDescent="0.35"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10"/>
    </row>
    <row r="123" spans="2:52" x14ac:dyDescent="0.35"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10"/>
    </row>
    <row r="124" spans="2:52" x14ac:dyDescent="0.35"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10"/>
    </row>
    <row r="125" spans="2:52" x14ac:dyDescent="0.35"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10"/>
    </row>
    <row r="126" spans="2:52" x14ac:dyDescent="0.35"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10"/>
    </row>
    <row r="127" spans="2:52" x14ac:dyDescent="0.35"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10"/>
    </row>
    <row r="128" spans="2:52" x14ac:dyDescent="0.35"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10"/>
    </row>
    <row r="129" spans="2:52" x14ac:dyDescent="0.35"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10"/>
    </row>
    <row r="130" spans="2:52" x14ac:dyDescent="0.35"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10"/>
    </row>
    <row r="131" spans="2:52" x14ac:dyDescent="0.35"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10"/>
    </row>
    <row r="132" spans="2:52" x14ac:dyDescent="0.35"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10"/>
    </row>
    <row r="133" spans="2:52" x14ac:dyDescent="0.35"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10"/>
    </row>
    <row r="134" spans="2:52" x14ac:dyDescent="0.35"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10"/>
    </row>
    <row r="135" spans="2:52" x14ac:dyDescent="0.35"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10"/>
    </row>
    <row r="136" spans="2:52" x14ac:dyDescent="0.35"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10"/>
    </row>
    <row r="137" spans="2:52" x14ac:dyDescent="0.35"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10"/>
    </row>
    <row r="138" spans="2:52" x14ac:dyDescent="0.35"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10"/>
    </row>
    <row r="139" spans="2:52" x14ac:dyDescent="0.35"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10"/>
    </row>
    <row r="140" spans="2:52" x14ac:dyDescent="0.35"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10"/>
    </row>
    <row r="141" spans="2:52" x14ac:dyDescent="0.35"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10"/>
    </row>
    <row r="142" spans="2:52" x14ac:dyDescent="0.35"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10"/>
    </row>
    <row r="143" spans="2:52" x14ac:dyDescent="0.35"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10"/>
    </row>
    <row r="144" spans="2:52" x14ac:dyDescent="0.35"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10"/>
    </row>
    <row r="145" spans="2:52" x14ac:dyDescent="0.35"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10"/>
    </row>
    <row r="146" spans="2:52" x14ac:dyDescent="0.35"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10"/>
    </row>
    <row r="147" spans="2:52" x14ac:dyDescent="0.35"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10"/>
    </row>
    <row r="148" spans="2:52" x14ac:dyDescent="0.35"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10"/>
    </row>
    <row r="149" spans="2:52" x14ac:dyDescent="0.35"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10"/>
    </row>
    <row r="150" spans="2:52" x14ac:dyDescent="0.35"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10"/>
    </row>
    <row r="151" spans="2:52" x14ac:dyDescent="0.35"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10"/>
    </row>
    <row r="152" spans="2:52" x14ac:dyDescent="0.35"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10"/>
    </row>
    <row r="153" spans="2:52" x14ac:dyDescent="0.35"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10"/>
    </row>
    <row r="154" spans="2:52" x14ac:dyDescent="0.35"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10"/>
    </row>
    <row r="155" spans="2:52" x14ac:dyDescent="0.35"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10"/>
    </row>
    <row r="156" spans="2:52" x14ac:dyDescent="0.35"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10"/>
    </row>
    <row r="157" spans="2:52" x14ac:dyDescent="0.35"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10"/>
    </row>
    <row r="158" spans="2:52" x14ac:dyDescent="0.35"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10"/>
    </row>
    <row r="159" spans="2:52" x14ac:dyDescent="0.35"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10"/>
    </row>
    <row r="160" spans="2:52" x14ac:dyDescent="0.35"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10"/>
    </row>
    <row r="161" spans="2:52" x14ac:dyDescent="0.35"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10"/>
    </row>
    <row r="162" spans="2:52" x14ac:dyDescent="0.35"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10"/>
    </row>
    <row r="163" spans="2:52" x14ac:dyDescent="0.35"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10"/>
    </row>
    <row r="164" spans="2:52" x14ac:dyDescent="0.35"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10"/>
    </row>
    <row r="165" spans="2:52" x14ac:dyDescent="0.35"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10"/>
    </row>
    <row r="166" spans="2:52" x14ac:dyDescent="0.35"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10"/>
    </row>
    <row r="167" spans="2:52" x14ac:dyDescent="0.35"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10"/>
    </row>
    <row r="168" spans="2:52" x14ac:dyDescent="0.35"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10"/>
    </row>
    <row r="169" spans="2:52" x14ac:dyDescent="0.35"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10"/>
    </row>
    <row r="170" spans="2:52" x14ac:dyDescent="0.35"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10"/>
    </row>
    <row r="171" spans="2:52" x14ac:dyDescent="0.35"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10"/>
    </row>
    <row r="172" spans="2:52" x14ac:dyDescent="0.35"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10"/>
    </row>
    <row r="173" spans="2:52" x14ac:dyDescent="0.35"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10"/>
    </row>
    <row r="174" spans="2:52" x14ac:dyDescent="0.35"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10"/>
    </row>
    <row r="175" spans="2:52" x14ac:dyDescent="0.35"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10"/>
    </row>
    <row r="176" spans="2:52" x14ac:dyDescent="0.35"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10"/>
    </row>
    <row r="177" spans="2:52" x14ac:dyDescent="0.35"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10"/>
    </row>
    <row r="178" spans="2:52" x14ac:dyDescent="0.35"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10"/>
    </row>
    <row r="179" spans="2:52" x14ac:dyDescent="0.35"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10"/>
    </row>
    <row r="180" spans="2:52" x14ac:dyDescent="0.35"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10"/>
    </row>
    <row r="181" spans="2:52" x14ac:dyDescent="0.35"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10"/>
    </row>
    <row r="182" spans="2:52" x14ac:dyDescent="0.35"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10"/>
    </row>
    <row r="183" spans="2:52" x14ac:dyDescent="0.35"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10"/>
    </row>
    <row r="184" spans="2:52" x14ac:dyDescent="0.35"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10"/>
    </row>
    <row r="185" spans="2:52" x14ac:dyDescent="0.35"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10"/>
    </row>
    <row r="186" spans="2:52" x14ac:dyDescent="0.35"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10"/>
    </row>
    <row r="187" spans="2:52" x14ac:dyDescent="0.35"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10"/>
    </row>
    <row r="188" spans="2:52" x14ac:dyDescent="0.35"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10"/>
    </row>
    <row r="189" spans="2:52" x14ac:dyDescent="0.35"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10"/>
    </row>
    <row r="190" spans="2:52" x14ac:dyDescent="0.35"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10"/>
    </row>
    <row r="191" spans="2:52" x14ac:dyDescent="0.35"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10"/>
    </row>
    <row r="192" spans="2:52" x14ac:dyDescent="0.35"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10"/>
    </row>
    <row r="193" spans="2:52" x14ac:dyDescent="0.35"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10"/>
    </row>
    <row r="194" spans="2:52" x14ac:dyDescent="0.35"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10"/>
    </row>
    <row r="195" spans="2:52" x14ac:dyDescent="0.35"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10"/>
    </row>
    <row r="196" spans="2:52" x14ac:dyDescent="0.35"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10"/>
    </row>
    <row r="197" spans="2:52" x14ac:dyDescent="0.35"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10"/>
    </row>
    <row r="198" spans="2:52" x14ac:dyDescent="0.35"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10"/>
    </row>
    <row r="199" spans="2:52" x14ac:dyDescent="0.35"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10"/>
    </row>
    <row r="200" spans="2:52" x14ac:dyDescent="0.35"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10"/>
    </row>
    <row r="201" spans="2:52" x14ac:dyDescent="0.35"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10"/>
    </row>
    <row r="202" spans="2:52" x14ac:dyDescent="0.35">
      <c r="B202" s="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10"/>
    </row>
    <row r="203" spans="2:52" x14ac:dyDescent="0.35">
      <c r="B203" s="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10"/>
    </row>
    <row r="204" spans="2:52" x14ac:dyDescent="0.35">
      <c r="B204" s="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10"/>
    </row>
    <row r="205" spans="2:52" x14ac:dyDescent="0.35">
      <c r="B205" s="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10"/>
    </row>
    <row r="206" spans="2:52" x14ac:dyDescent="0.35">
      <c r="B206" s="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10"/>
    </row>
    <row r="207" spans="2:52" x14ac:dyDescent="0.35">
      <c r="B207" s="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10"/>
    </row>
    <row r="208" spans="2:52" x14ac:dyDescent="0.35"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10"/>
    </row>
    <row r="209" spans="2:52" x14ac:dyDescent="0.35">
      <c r="B209" s="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10"/>
    </row>
    <row r="210" spans="2:52" x14ac:dyDescent="0.35">
      <c r="B210" s="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10"/>
    </row>
    <row r="211" spans="2:52" x14ac:dyDescent="0.35">
      <c r="B211" s="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10"/>
    </row>
    <row r="212" spans="2:52" x14ac:dyDescent="0.35">
      <c r="B212" s="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10"/>
    </row>
    <row r="213" spans="2:52" x14ac:dyDescent="0.35">
      <c r="B213" s="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10"/>
    </row>
    <row r="214" spans="2:52" x14ac:dyDescent="0.35">
      <c r="B214" s="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10"/>
    </row>
    <row r="215" spans="2:52" x14ac:dyDescent="0.35">
      <c r="B215" s="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10"/>
    </row>
    <row r="216" spans="2:52" x14ac:dyDescent="0.35">
      <c r="B216" s="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10"/>
    </row>
    <row r="217" spans="2:52" x14ac:dyDescent="0.35">
      <c r="B217" s="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10"/>
    </row>
    <row r="218" spans="2:52" x14ac:dyDescent="0.35">
      <c r="B218" s="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10"/>
    </row>
    <row r="219" spans="2:52" x14ac:dyDescent="0.35">
      <c r="B219" s="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10"/>
    </row>
    <row r="220" spans="2:52" x14ac:dyDescent="0.35"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10"/>
    </row>
    <row r="221" spans="2:52" x14ac:dyDescent="0.35">
      <c r="B221" s="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10"/>
    </row>
    <row r="222" spans="2:52" x14ac:dyDescent="0.35">
      <c r="B222" s="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10"/>
    </row>
    <row r="223" spans="2:52" x14ac:dyDescent="0.35">
      <c r="B223" s="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10"/>
    </row>
    <row r="224" spans="2:52" x14ac:dyDescent="0.35">
      <c r="B224" s="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10"/>
    </row>
    <row r="225" spans="2:52" x14ac:dyDescent="0.35">
      <c r="B225" s="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10"/>
    </row>
    <row r="226" spans="2:52" x14ac:dyDescent="0.35">
      <c r="B226" s="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10"/>
    </row>
    <row r="227" spans="2:52" x14ac:dyDescent="0.35">
      <c r="B227" s="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10"/>
    </row>
    <row r="228" spans="2:52" x14ac:dyDescent="0.35">
      <c r="B228" s="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10"/>
    </row>
    <row r="229" spans="2:52" x14ac:dyDescent="0.35"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10"/>
    </row>
    <row r="230" spans="2:52" x14ac:dyDescent="0.35">
      <c r="B230" s="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10"/>
    </row>
    <row r="231" spans="2:52" x14ac:dyDescent="0.35">
      <c r="B231" s="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10"/>
    </row>
    <row r="232" spans="2:52" x14ac:dyDescent="0.35"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10"/>
    </row>
    <row r="233" spans="2:52" x14ac:dyDescent="0.35">
      <c r="B233" s="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10"/>
    </row>
    <row r="234" spans="2:52" x14ac:dyDescent="0.35">
      <c r="B234" s="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10"/>
    </row>
    <row r="235" spans="2:52" x14ac:dyDescent="0.35">
      <c r="B235" s="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10"/>
    </row>
    <row r="236" spans="2:52" x14ac:dyDescent="0.35">
      <c r="B236" s="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10"/>
    </row>
    <row r="237" spans="2:52" x14ac:dyDescent="0.35">
      <c r="B237" s="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10"/>
    </row>
    <row r="238" spans="2:52" x14ac:dyDescent="0.35">
      <c r="B238" s="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10"/>
    </row>
    <row r="239" spans="2:52" x14ac:dyDescent="0.35">
      <c r="B239" s="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10"/>
    </row>
    <row r="240" spans="2:52" x14ac:dyDescent="0.35">
      <c r="B240" s="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10"/>
    </row>
    <row r="241" spans="2:52" x14ac:dyDescent="0.35">
      <c r="B241" s="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10"/>
    </row>
    <row r="242" spans="2:52" x14ac:dyDescent="0.35">
      <c r="B242" s="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10"/>
    </row>
    <row r="243" spans="2:52" x14ac:dyDescent="0.35">
      <c r="B243" s="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10"/>
    </row>
    <row r="244" spans="2:52" x14ac:dyDescent="0.35">
      <c r="B244" s="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10"/>
    </row>
    <row r="245" spans="2:52" x14ac:dyDescent="0.35">
      <c r="B245" s="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10"/>
    </row>
    <row r="246" spans="2:52" x14ac:dyDescent="0.35">
      <c r="B246" s="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10"/>
    </row>
    <row r="247" spans="2:52" x14ac:dyDescent="0.35">
      <c r="B247" s="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10"/>
    </row>
    <row r="248" spans="2:52" x14ac:dyDescent="0.35">
      <c r="B248" s="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10"/>
    </row>
    <row r="249" spans="2:52" x14ac:dyDescent="0.35">
      <c r="B249" s="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10"/>
    </row>
    <row r="250" spans="2:52" x14ac:dyDescent="0.35">
      <c r="B250" s="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10"/>
    </row>
    <row r="251" spans="2:52" x14ac:dyDescent="0.35">
      <c r="B251" s="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10"/>
    </row>
    <row r="252" spans="2:52" x14ac:dyDescent="0.35">
      <c r="B252" s="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10"/>
    </row>
    <row r="253" spans="2:52" x14ac:dyDescent="0.35">
      <c r="B253" s="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10"/>
    </row>
    <row r="254" spans="2:52" x14ac:dyDescent="0.35">
      <c r="B254" s="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10"/>
    </row>
    <row r="255" spans="2:52" x14ac:dyDescent="0.35">
      <c r="B255" s="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10"/>
    </row>
    <row r="256" spans="2:52" x14ac:dyDescent="0.35">
      <c r="B256" s="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10"/>
    </row>
    <row r="257" spans="2:52" x14ac:dyDescent="0.35">
      <c r="B257" s="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10"/>
    </row>
    <row r="258" spans="2:52" x14ac:dyDescent="0.35">
      <c r="B258" s="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10"/>
    </row>
    <row r="259" spans="2:52" x14ac:dyDescent="0.35">
      <c r="B259" s="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10"/>
    </row>
    <row r="260" spans="2:52" x14ac:dyDescent="0.35">
      <c r="B260" s="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10"/>
    </row>
    <row r="261" spans="2:52" x14ac:dyDescent="0.35">
      <c r="B261" s="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10"/>
    </row>
    <row r="262" spans="2:52" x14ac:dyDescent="0.35">
      <c r="B262" s="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10"/>
    </row>
    <row r="263" spans="2:52" x14ac:dyDescent="0.35">
      <c r="B263" s="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10"/>
    </row>
    <row r="264" spans="2:52" x14ac:dyDescent="0.35">
      <c r="B264" s="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10"/>
    </row>
    <row r="265" spans="2:52" x14ac:dyDescent="0.35">
      <c r="B265" s="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10"/>
    </row>
    <row r="266" spans="2:52" x14ac:dyDescent="0.35">
      <c r="B266" s="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10"/>
    </row>
    <row r="267" spans="2:52" x14ac:dyDescent="0.35">
      <c r="B267" s="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10"/>
    </row>
    <row r="268" spans="2:52" x14ac:dyDescent="0.35">
      <c r="B268" s="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10"/>
    </row>
    <row r="269" spans="2:52" x14ac:dyDescent="0.35">
      <c r="B269" s="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10"/>
    </row>
    <row r="270" spans="2:52" x14ac:dyDescent="0.35">
      <c r="B270" s="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10"/>
    </row>
    <row r="271" spans="2:52" x14ac:dyDescent="0.35">
      <c r="B271" s="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10"/>
    </row>
    <row r="272" spans="2:52" x14ac:dyDescent="0.35">
      <c r="B272" s="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10"/>
    </row>
    <row r="273" spans="2:52" x14ac:dyDescent="0.35">
      <c r="B273" s="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10"/>
    </row>
    <row r="274" spans="2:52" x14ac:dyDescent="0.35">
      <c r="B274" s="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10"/>
    </row>
    <row r="275" spans="2:52" x14ac:dyDescent="0.35">
      <c r="B275" s="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10"/>
    </row>
    <row r="276" spans="2:52" x14ac:dyDescent="0.35">
      <c r="B276" s="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10"/>
    </row>
    <row r="277" spans="2:52" x14ac:dyDescent="0.35">
      <c r="B277" s="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10"/>
    </row>
    <row r="278" spans="2:52" x14ac:dyDescent="0.35">
      <c r="B278" s="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10"/>
    </row>
    <row r="279" spans="2:52" x14ac:dyDescent="0.35">
      <c r="B279" s="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10"/>
    </row>
    <row r="280" spans="2:52" x14ac:dyDescent="0.35">
      <c r="B280" s="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10"/>
    </row>
    <row r="281" spans="2:52" x14ac:dyDescent="0.35">
      <c r="B281" s="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10"/>
    </row>
    <row r="282" spans="2:52" x14ac:dyDescent="0.35">
      <c r="B282" s="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10"/>
    </row>
    <row r="283" spans="2:52" x14ac:dyDescent="0.35"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10"/>
    </row>
    <row r="284" spans="2:52" x14ac:dyDescent="0.35">
      <c r="B284" s="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10"/>
    </row>
    <row r="285" spans="2:52" x14ac:dyDescent="0.35">
      <c r="B285" s="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10"/>
    </row>
    <row r="286" spans="2:52" x14ac:dyDescent="0.35">
      <c r="B286" s="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10"/>
    </row>
    <row r="287" spans="2:52" x14ac:dyDescent="0.35">
      <c r="B287" s="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10"/>
    </row>
    <row r="288" spans="2:52" x14ac:dyDescent="0.35">
      <c r="B288" s="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10"/>
    </row>
    <row r="289" spans="2:52" x14ac:dyDescent="0.35">
      <c r="B289" s="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10"/>
    </row>
    <row r="290" spans="2:52" x14ac:dyDescent="0.35">
      <c r="B290" s="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10"/>
    </row>
    <row r="291" spans="2:52" x14ac:dyDescent="0.35">
      <c r="B291" s="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10"/>
    </row>
    <row r="292" spans="2:52" x14ac:dyDescent="0.35">
      <c r="B292" s="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10"/>
    </row>
    <row r="293" spans="2:52" x14ac:dyDescent="0.35">
      <c r="B293" s="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10"/>
    </row>
    <row r="294" spans="2:52" x14ac:dyDescent="0.35">
      <c r="B294" s="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10"/>
    </row>
    <row r="295" spans="2:52" x14ac:dyDescent="0.35">
      <c r="B295" s="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10"/>
    </row>
    <row r="296" spans="2:52" x14ac:dyDescent="0.35">
      <c r="B296" s="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10"/>
    </row>
    <row r="297" spans="2:52" x14ac:dyDescent="0.35">
      <c r="B297" s="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10"/>
    </row>
    <row r="298" spans="2:52" x14ac:dyDescent="0.35">
      <c r="B298" s="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10"/>
    </row>
    <row r="299" spans="2:52" x14ac:dyDescent="0.35">
      <c r="B299" s="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10"/>
    </row>
    <row r="300" spans="2:52" x14ac:dyDescent="0.35">
      <c r="B300" s="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10"/>
    </row>
    <row r="301" spans="2:52" x14ac:dyDescent="0.35">
      <c r="B301" s="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10"/>
    </row>
    <row r="302" spans="2:52" x14ac:dyDescent="0.35">
      <c r="B302" s="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10"/>
    </row>
    <row r="303" spans="2:52" x14ac:dyDescent="0.35">
      <c r="B303" s="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10"/>
    </row>
    <row r="304" spans="2:52" x14ac:dyDescent="0.35">
      <c r="B304" s="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10"/>
    </row>
    <row r="305" spans="2:52" x14ac:dyDescent="0.35">
      <c r="B305" s="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10"/>
    </row>
    <row r="306" spans="2:52" x14ac:dyDescent="0.35">
      <c r="B306" s="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10"/>
    </row>
    <row r="307" spans="2:52" x14ac:dyDescent="0.35">
      <c r="B307" s="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10"/>
    </row>
    <row r="308" spans="2:52" x14ac:dyDescent="0.35">
      <c r="B308" s="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10"/>
    </row>
    <row r="309" spans="2:52" x14ac:dyDescent="0.35">
      <c r="B309" s="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10"/>
    </row>
    <row r="310" spans="2:52" x14ac:dyDescent="0.35">
      <c r="B310" s="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10"/>
    </row>
    <row r="311" spans="2:52" x14ac:dyDescent="0.35">
      <c r="B311" s="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10"/>
    </row>
    <row r="312" spans="2:52" x14ac:dyDescent="0.35">
      <c r="B312" s="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10"/>
    </row>
    <row r="313" spans="2:52" x14ac:dyDescent="0.35">
      <c r="B313" s="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10"/>
    </row>
    <row r="314" spans="2:52" x14ac:dyDescent="0.35">
      <c r="B314" s="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10"/>
    </row>
    <row r="315" spans="2:52" x14ac:dyDescent="0.35">
      <c r="B315" s="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10"/>
    </row>
    <row r="316" spans="2:52" x14ac:dyDescent="0.35">
      <c r="B316" s="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10"/>
    </row>
    <row r="317" spans="2:52" x14ac:dyDescent="0.35">
      <c r="B317" s="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10"/>
    </row>
    <row r="318" spans="2:52" x14ac:dyDescent="0.35">
      <c r="B318" s="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10"/>
    </row>
    <row r="319" spans="2:52" x14ac:dyDescent="0.35">
      <c r="B319" s="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10"/>
    </row>
    <row r="320" spans="2:52" x14ac:dyDescent="0.35">
      <c r="B320" s="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10"/>
    </row>
    <row r="321" spans="2:52" x14ac:dyDescent="0.35">
      <c r="B321" s="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10"/>
    </row>
    <row r="322" spans="2:52" x14ac:dyDescent="0.35">
      <c r="B322" s="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10"/>
    </row>
    <row r="323" spans="2:52" x14ac:dyDescent="0.35">
      <c r="B323" s="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10"/>
    </row>
    <row r="324" spans="2:52" x14ac:dyDescent="0.35">
      <c r="B324" s="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10"/>
    </row>
    <row r="325" spans="2:52" x14ac:dyDescent="0.35">
      <c r="B325" s="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10"/>
    </row>
    <row r="326" spans="2:52" x14ac:dyDescent="0.35">
      <c r="B326" s="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10"/>
    </row>
    <row r="327" spans="2:52" x14ac:dyDescent="0.35">
      <c r="B327" s="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10"/>
    </row>
    <row r="328" spans="2:52" x14ac:dyDescent="0.35">
      <c r="B328" s="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10"/>
    </row>
    <row r="329" spans="2:52" x14ac:dyDescent="0.35">
      <c r="B329" s="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10"/>
    </row>
    <row r="330" spans="2:52" x14ac:dyDescent="0.35">
      <c r="B330" s="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10"/>
    </row>
    <row r="331" spans="2:52" x14ac:dyDescent="0.35">
      <c r="B331" s="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10"/>
    </row>
    <row r="332" spans="2:52" x14ac:dyDescent="0.35">
      <c r="B332" s="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10"/>
    </row>
    <row r="333" spans="2:52" x14ac:dyDescent="0.35">
      <c r="B333" s="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10"/>
    </row>
    <row r="334" spans="2:52" x14ac:dyDescent="0.35">
      <c r="B334" s="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10"/>
    </row>
    <row r="335" spans="2:52" x14ac:dyDescent="0.35">
      <c r="B335" s="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10"/>
    </row>
    <row r="336" spans="2:52" x14ac:dyDescent="0.35">
      <c r="B336" s="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10"/>
    </row>
    <row r="337" spans="2:52" x14ac:dyDescent="0.35"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10"/>
    </row>
    <row r="338" spans="2:52" x14ac:dyDescent="0.35">
      <c r="B338" s="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10"/>
    </row>
    <row r="339" spans="2:52" x14ac:dyDescent="0.35">
      <c r="B339" s="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10"/>
    </row>
    <row r="340" spans="2:52" x14ac:dyDescent="0.35">
      <c r="B340" s="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10"/>
    </row>
    <row r="341" spans="2:52" x14ac:dyDescent="0.35">
      <c r="B341" s="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10"/>
    </row>
    <row r="342" spans="2:52" x14ac:dyDescent="0.35">
      <c r="B342" s="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10"/>
    </row>
    <row r="343" spans="2:52" x14ac:dyDescent="0.35">
      <c r="B343" s="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10"/>
    </row>
    <row r="344" spans="2:52" x14ac:dyDescent="0.35">
      <c r="B344" s="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10"/>
    </row>
    <row r="345" spans="2:52" x14ac:dyDescent="0.35">
      <c r="B345" s="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10"/>
    </row>
    <row r="346" spans="2:52" x14ac:dyDescent="0.35">
      <c r="B346" s="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10"/>
    </row>
    <row r="347" spans="2:52" x14ac:dyDescent="0.35">
      <c r="B347" s="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10"/>
    </row>
    <row r="348" spans="2:52" x14ac:dyDescent="0.35">
      <c r="B348" s="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10"/>
    </row>
    <row r="349" spans="2:52" x14ac:dyDescent="0.35">
      <c r="B349" s="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10"/>
    </row>
    <row r="350" spans="2:52" x14ac:dyDescent="0.35">
      <c r="B350" s="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10"/>
    </row>
    <row r="351" spans="2:52" x14ac:dyDescent="0.35">
      <c r="B351" s="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10"/>
    </row>
    <row r="352" spans="2:52" x14ac:dyDescent="0.35">
      <c r="B352" s="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10"/>
    </row>
    <row r="353" spans="2:52" x14ac:dyDescent="0.35">
      <c r="B353" s="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10"/>
    </row>
    <row r="354" spans="2:52" x14ac:dyDescent="0.35">
      <c r="B354" s="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10"/>
    </row>
    <row r="355" spans="2:52" x14ac:dyDescent="0.35">
      <c r="B355" s="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10"/>
    </row>
    <row r="356" spans="2:52" x14ac:dyDescent="0.35">
      <c r="B356" s="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10"/>
    </row>
    <row r="357" spans="2:52" x14ac:dyDescent="0.35">
      <c r="B357" s="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10"/>
    </row>
    <row r="358" spans="2:52" x14ac:dyDescent="0.35">
      <c r="B358" s="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10"/>
    </row>
    <row r="359" spans="2:52" x14ac:dyDescent="0.35">
      <c r="B359" s="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10"/>
    </row>
    <row r="360" spans="2:52" x14ac:dyDescent="0.35">
      <c r="B360" s="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10"/>
    </row>
    <row r="361" spans="2:52" x14ac:dyDescent="0.35">
      <c r="B361" s="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10"/>
    </row>
    <row r="362" spans="2:52" x14ac:dyDescent="0.35">
      <c r="B362" s="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10"/>
    </row>
    <row r="363" spans="2:52" x14ac:dyDescent="0.35">
      <c r="B363" s="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10"/>
    </row>
    <row r="364" spans="2:52" x14ac:dyDescent="0.35">
      <c r="B364" s="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10"/>
    </row>
    <row r="365" spans="2:52" x14ac:dyDescent="0.35">
      <c r="B365" s="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10"/>
    </row>
    <row r="366" spans="2:52" x14ac:dyDescent="0.35">
      <c r="B366" s="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10"/>
    </row>
    <row r="367" spans="2:52" x14ac:dyDescent="0.35">
      <c r="B367" s="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10"/>
    </row>
    <row r="368" spans="2:52" x14ac:dyDescent="0.35">
      <c r="B368" s="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10"/>
    </row>
    <row r="369" spans="2:52" x14ac:dyDescent="0.35">
      <c r="B369" s="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10"/>
    </row>
    <row r="370" spans="2:52" x14ac:dyDescent="0.35">
      <c r="B370" s="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10"/>
    </row>
    <row r="371" spans="2:52" x14ac:dyDescent="0.35">
      <c r="B371" s="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10"/>
    </row>
    <row r="372" spans="2:52" x14ac:dyDescent="0.35">
      <c r="B372" s="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10"/>
    </row>
    <row r="373" spans="2:52" x14ac:dyDescent="0.35">
      <c r="B373" s="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10"/>
    </row>
    <row r="374" spans="2:52" x14ac:dyDescent="0.35">
      <c r="B374" s="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10"/>
    </row>
    <row r="375" spans="2:52" x14ac:dyDescent="0.35">
      <c r="B375" s="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10"/>
    </row>
    <row r="376" spans="2:52" x14ac:dyDescent="0.35">
      <c r="B376" s="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10"/>
    </row>
    <row r="377" spans="2:52" x14ac:dyDescent="0.35">
      <c r="B377" s="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10"/>
    </row>
    <row r="378" spans="2:52" x14ac:dyDescent="0.35">
      <c r="B378" s="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10"/>
    </row>
    <row r="379" spans="2:52" x14ac:dyDescent="0.35">
      <c r="B379" s="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10"/>
    </row>
    <row r="380" spans="2:52" x14ac:dyDescent="0.35">
      <c r="B380" s="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10"/>
    </row>
    <row r="381" spans="2:52" x14ac:dyDescent="0.35">
      <c r="B381" s="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10"/>
    </row>
    <row r="382" spans="2:52" x14ac:dyDescent="0.35">
      <c r="B382" s="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10"/>
    </row>
    <row r="383" spans="2:52" x14ac:dyDescent="0.35">
      <c r="B383" s="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10"/>
    </row>
    <row r="384" spans="2:52" x14ac:dyDescent="0.35">
      <c r="B384" s="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10"/>
    </row>
    <row r="385" spans="2:52" x14ac:dyDescent="0.35">
      <c r="B385" s="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10"/>
    </row>
    <row r="386" spans="2:52" x14ac:dyDescent="0.35">
      <c r="B386" s="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10"/>
    </row>
    <row r="387" spans="2:52" x14ac:dyDescent="0.35">
      <c r="B387" s="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10"/>
    </row>
    <row r="388" spans="2:52" x14ac:dyDescent="0.35">
      <c r="B388" s="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10"/>
    </row>
    <row r="389" spans="2:52" x14ac:dyDescent="0.35">
      <c r="B389" s="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10"/>
    </row>
    <row r="390" spans="2:52" x14ac:dyDescent="0.35">
      <c r="B390" s="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10"/>
    </row>
    <row r="391" spans="2:52" x14ac:dyDescent="0.35">
      <c r="B391" s="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10"/>
    </row>
    <row r="392" spans="2:52" x14ac:dyDescent="0.35">
      <c r="B392" s="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10"/>
    </row>
    <row r="393" spans="2:52" x14ac:dyDescent="0.35">
      <c r="B393" s="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10"/>
    </row>
    <row r="394" spans="2:52" x14ac:dyDescent="0.35">
      <c r="B394" s="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10"/>
    </row>
    <row r="395" spans="2:52" x14ac:dyDescent="0.35">
      <c r="B395" s="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10"/>
    </row>
    <row r="396" spans="2:52" x14ac:dyDescent="0.35">
      <c r="B396" s="7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10"/>
    </row>
    <row r="397" spans="2:52" x14ac:dyDescent="0.35">
      <c r="B397" s="7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10"/>
    </row>
    <row r="398" spans="2:52" x14ac:dyDescent="0.35">
      <c r="B398" s="7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10"/>
    </row>
    <row r="399" spans="2:52" x14ac:dyDescent="0.35">
      <c r="B399" s="7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10"/>
    </row>
    <row r="400" spans="2:52" x14ac:dyDescent="0.35">
      <c r="B400" s="7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10"/>
    </row>
    <row r="401" spans="2:52" x14ac:dyDescent="0.35">
      <c r="B401" s="7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10"/>
    </row>
    <row r="402" spans="2:52" x14ac:dyDescent="0.35">
      <c r="B402" s="7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10"/>
    </row>
    <row r="403" spans="2:52" x14ac:dyDescent="0.35">
      <c r="B403" s="7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10"/>
    </row>
    <row r="404" spans="2:52" x14ac:dyDescent="0.35">
      <c r="B404" s="7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10"/>
    </row>
    <row r="405" spans="2:52" x14ac:dyDescent="0.35">
      <c r="B405" s="7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10"/>
    </row>
    <row r="406" spans="2:52" x14ac:dyDescent="0.35">
      <c r="B406" s="7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10"/>
    </row>
    <row r="407" spans="2:52" x14ac:dyDescent="0.35">
      <c r="B407" s="7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10"/>
    </row>
    <row r="408" spans="2:52" x14ac:dyDescent="0.35">
      <c r="B408" s="7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10"/>
    </row>
    <row r="409" spans="2:52" x14ac:dyDescent="0.35">
      <c r="B409" s="7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10"/>
    </row>
    <row r="410" spans="2:52" x14ac:dyDescent="0.35">
      <c r="B410" s="7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10"/>
    </row>
    <row r="411" spans="2:52" x14ac:dyDescent="0.35">
      <c r="B411" s="7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10"/>
    </row>
    <row r="412" spans="2:52" x14ac:dyDescent="0.35">
      <c r="B412" s="7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10"/>
    </row>
    <row r="413" spans="2:52" x14ac:dyDescent="0.35">
      <c r="B413" s="7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10"/>
    </row>
    <row r="414" spans="2:52" x14ac:dyDescent="0.35">
      <c r="B414" s="7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10"/>
    </row>
    <row r="415" spans="2:52" x14ac:dyDescent="0.35">
      <c r="B415" s="7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10"/>
    </row>
    <row r="416" spans="2:52" x14ac:dyDescent="0.35">
      <c r="B416" s="7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10"/>
    </row>
    <row r="417" spans="2:52" x14ac:dyDescent="0.35">
      <c r="B417" s="7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10"/>
    </row>
    <row r="418" spans="2:52" x14ac:dyDescent="0.35">
      <c r="B418" s="7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10"/>
    </row>
    <row r="419" spans="2:52" x14ac:dyDescent="0.35">
      <c r="B419" s="7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10"/>
    </row>
    <row r="420" spans="2:52" x14ac:dyDescent="0.35">
      <c r="B420" s="7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10"/>
    </row>
    <row r="421" spans="2:52" x14ac:dyDescent="0.35">
      <c r="B421" s="7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10"/>
    </row>
    <row r="422" spans="2:52" x14ac:dyDescent="0.35">
      <c r="B422" s="7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10"/>
    </row>
    <row r="423" spans="2:52" x14ac:dyDescent="0.35">
      <c r="B423" s="7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10"/>
    </row>
    <row r="424" spans="2:52" x14ac:dyDescent="0.35">
      <c r="B424" s="7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10"/>
    </row>
    <row r="425" spans="2:52" x14ac:dyDescent="0.35">
      <c r="B425" s="7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10"/>
    </row>
    <row r="426" spans="2:52" x14ac:dyDescent="0.35">
      <c r="B426" s="7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10"/>
    </row>
    <row r="427" spans="2:52" x14ac:dyDescent="0.35">
      <c r="B427" s="7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10"/>
    </row>
    <row r="428" spans="2:52" x14ac:dyDescent="0.35">
      <c r="B428" s="7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10"/>
    </row>
    <row r="429" spans="2:52" x14ac:dyDescent="0.35">
      <c r="B429" s="7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10"/>
    </row>
    <row r="430" spans="2:52" x14ac:dyDescent="0.35">
      <c r="B430" s="7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10"/>
    </row>
    <row r="431" spans="2:52" x14ac:dyDescent="0.35">
      <c r="B431" s="7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10"/>
    </row>
    <row r="432" spans="2:52" x14ac:dyDescent="0.35">
      <c r="B432" s="7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10"/>
    </row>
    <row r="433" spans="2:52" x14ac:dyDescent="0.35">
      <c r="B433" s="7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10"/>
    </row>
    <row r="434" spans="2:52" x14ac:dyDescent="0.35">
      <c r="B434" s="7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10"/>
    </row>
    <row r="435" spans="2:52" x14ac:dyDescent="0.35">
      <c r="B435" s="7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10"/>
    </row>
    <row r="436" spans="2:52" x14ac:dyDescent="0.35">
      <c r="B436" s="7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10"/>
    </row>
    <row r="437" spans="2:52" x14ac:dyDescent="0.35">
      <c r="B437" s="7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10"/>
    </row>
    <row r="438" spans="2:52" x14ac:dyDescent="0.35">
      <c r="B438" s="7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10"/>
    </row>
    <row r="439" spans="2:52" x14ac:dyDescent="0.35">
      <c r="B439" s="7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10"/>
    </row>
    <row r="440" spans="2:52" x14ac:dyDescent="0.35">
      <c r="B440" s="7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10"/>
    </row>
    <row r="441" spans="2:52" x14ac:dyDescent="0.35">
      <c r="B441" s="7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10"/>
    </row>
    <row r="442" spans="2:52" x14ac:dyDescent="0.35">
      <c r="B442" s="7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10"/>
    </row>
    <row r="443" spans="2:52" x14ac:dyDescent="0.35">
      <c r="B443" s="7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10"/>
    </row>
    <row r="444" spans="2:52" x14ac:dyDescent="0.35">
      <c r="B444" s="7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10"/>
    </row>
    <row r="445" spans="2:52" x14ac:dyDescent="0.35">
      <c r="B445" s="7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10"/>
    </row>
    <row r="446" spans="2:52" x14ac:dyDescent="0.35">
      <c r="B446" s="7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10"/>
    </row>
    <row r="447" spans="2:52" x14ac:dyDescent="0.35">
      <c r="B447" s="7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10"/>
    </row>
    <row r="448" spans="2:52" x14ac:dyDescent="0.35">
      <c r="B448" s="7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10"/>
    </row>
    <row r="449" spans="2:52" x14ac:dyDescent="0.35">
      <c r="B449" s="7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10"/>
    </row>
    <row r="450" spans="2:52" x14ac:dyDescent="0.35">
      <c r="B450" s="7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10"/>
    </row>
    <row r="451" spans="2:52" x14ac:dyDescent="0.35">
      <c r="B451" s="7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10"/>
    </row>
    <row r="452" spans="2:52" x14ac:dyDescent="0.35">
      <c r="B452" s="7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10"/>
    </row>
    <row r="453" spans="2:52" x14ac:dyDescent="0.35">
      <c r="B453" s="7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10"/>
    </row>
    <row r="454" spans="2:52" x14ac:dyDescent="0.35">
      <c r="B454" s="7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10"/>
    </row>
    <row r="455" spans="2:52" x14ac:dyDescent="0.35">
      <c r="B455" s="7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10"/>
    </row>
    <row r="456" spans="2:52" x14ac:dyDescent="0.35">
      <c r="B456" s="7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10"/>
    </row>
    <row r="457" spans="2:52" x14ac:dyDescent="0.35">
      <c r="B457" s="7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10"/>
    </row>
    <row r="458" spans="2:52" x14ac:dyDescent="0.35">
      <c r="B458" s="7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10"/>
    </row>
    <row r="459" spans="2:52" x14ac:dyDescent="0.35">
      <c r="B459" s="7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10"/>
    </row>
    <row r="460" spans="2:52" x14ac:dyDescent="0.35">
      <c r="B460" s="7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10"/>
    </row>
    <row r="461" spans="2:52" x14ac:dyDescent="0.35">
      <c r="B461" s="7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10"/>
    </row>
    <row r="462" spans="2:52" x14ac:dyDescent="0.35">
      <c r="B462" s="7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10"/>
    </row>
    <row r="463" spans="2:52" x14ac:dyDescent="0.35">
      <c r="B463" s="7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10"/>
    </row>
    <row r="464" spans="2:52" x14ac:dyDescent="0.35">
      <c r="B464" s="7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10"/>
    </row>
    <row r="465" spans="2:52" x14ac:dyDescent="0.35">
      <c r="B465" s="7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10"/>
    </row>
    <row r="466" spans="2:52" x14ac:dyDescent="0.35">
      <c r="B466" s="7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10"/>
    </row>
    <row r="467" spans="2:52" x14ac:dyDescent="0.35">
      <c r="B467" s="7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10"/>
    </row>
    <row r="468" spans="2:52" x14ac:dyDescent="0.35">
      <c r="B468" s="7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10"/>
    </row>
    <row r="469" spans="2:52" x14ac:dyDescent="0.35">
      <c r="B469" s="7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10"/>
    </row>
    <row r="470" spans="2:52" x14ac:dyDescent="0.35">
      <c r="B470" s="7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10"/>
    </row>
    <row r="471" spans="2:52" x14ac:dyDescent="0.35">
      <c r="B471" s="7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10"/>
    </row>
    <row r="472" spans="2:52" x14ac:dyDescent="0.35">
      <c r="B472" s="7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10"/>
    </row>
    <row r="473" spans="2:52" x14ac:dyDescent="0.35">
      <c r="B473" s="7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10"/>
    </row>
    <row r="474" spans="2:52" x14ac:dyDescent="0.35">
      <c r="B474" s="7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10"/>
    </row>
    <row r="475" spans="2:52" x14ac:dyDescent="0.35">
      <c r="B475" s="7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10"/>
    </row>
    <row r="476" spans="2:52" x14ac:dyDescent="0.35">
      <c r="B476" s="7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10"/>
    </row>
    <row r="477" spans="2:52" x14ac:dyDescent="0.35">
      <c r="B477" s="7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10"/>
    </row>
    <row r="478" spans="2:52" x14ac:dyDescent="0.35">
      <c r="B478" s="7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10"/>
    </row>
    <row r="479" spans="2:52" x14ac:dyDescent="0.35">
      <c r="B479" s="7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10"/>
    </row>
    <row r="480" spans="2:52" x14ac:dyDescent="0.35">
      <c r="B480" s="7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10"/>
    </row>
    <row r="481" spans="2:52" x14ac:dyDescent="0.35">
      <c r="B481" s="7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10"/>
    </row>
    <row r="482" spans="2:52" x14ac:dyDescent="0.35">
      <c r="B482" s="7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10"/>
    </row>
    <row r="483" spans="2:52" x14ac:dyDescent="0.35">
      <c r="B483" s="7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10"/>
    </row>
    <row r="484" spans="2:52" x14ac:dyDescent="0.35">
      <c r="B484" s="7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10"/>
    </row>
    <row r="485" spans="2:52" x14ac:dyDescent="0.35">
      <c r="B485" s="7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10"/>
    </row>
    <row r="486" spans="2:52" x14ac:dyDescent="0.35">
      <c r="B486" s="7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10"/>
    </row>
    <row r="487" spans="2:52" x14ac:dyDescent="0.35">
      <c r="B487" s="7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10"/>
    </row>
    <row r="488" spans="2:52" x14ac:dyDescent="0.35">
      <c r="B488" s="7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10"/>
    </row>
    <row r="489" spans="2:52" x14ac:dyDescent="0.35">
      <c r="B489" s="7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10"/>
    </row>
    <row r="490" spans="2:52" x14ac:dyDescent="0.35">
      <c r="B490" s="7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10"/>
    </row>
    <row r="491" spans="2:52" x14ac:dyDescent="0.35">
      <c r="B491" s="7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10"/>
    </row>
    <row r="492" spans="2:52" x14ac:dyDescent="0.35">
      <c r="B492" s="7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10"/>
    </row>
    <row r="493" spans="2:52" x14ac:dyDescent="0.35">
      <c r="B493" s="7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10"/>
    </row>
    <row r="494" spans="2:52" x14ac:dyDescent="0.35">
      <c r="B494" s="7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10"/>
    </row>
    <row r="495" spans="2:52" x14ac:dyDescent="0.35">
      <c r="B495" s="7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10"/>
    </row>
    <row r="496" spans="2:52" x14ac:dyDescent="0.35">
      <c r="B496" s="7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10"/>
    </row>
    <row r="497" spans="2:52" x14ac:dyDescent="0.35">
      <c r="B497" s="7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10"/>
    </row>
    <row r="498" spans="2:52" x14ac:dyDescent="0.35">
      <c r="B498" s="7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10"/>
    </row>
    <row r="499" spans="2:52" x14ac:dyDescent="0.35">
      <c r="B499" s="7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10"/>
    </row>
    <row r="500" spans="2:52" x14ac:dyDescent="0.35">
      <c r="B500" s="7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10"/>
    </row>
    <row r="501" spans="2:52" x14ac:dyDescent="0.35">
      <c r="B501" s="7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10"/>
    </row>
    <row r="502" spans="2:52" x14ac:dyDescent="0.35">
      <c r="B502" s="7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10"/>
    </row>
    <row r="503" spans="2:52" x14ac:dyDescent="0.35">
      <c r="B503" s="7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10"/>
    </row>
    <row r="504" spans="2:52" x14ac:dyDescent="0.35">
      <c r="B504" s="7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10"/>
    </row>
    <row r="505" spans="2:52" x14ac:dyDescent="0.35">
      <c r="B505" s="7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10"/>
    </row>
    <row r="506" spans="2:52" x14ac:dyDescent="0.35">
      <c r="B506" s="7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10"/>
    </row>
    <row r="507" spans="2:52" x14ac:dyDescent="0.35">
      <c r="B507" s="7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10"/>
    </row>
    <row r="508" spans="2:52" x14ac:dyDescent="0.35">
      <c r="B508" s="7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10"/>
    </row>
    <row r="509" spans="2:52" x14ac:dyDescent="0.35">
      <c r="B509" s="7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10"/>
    </row>
    <row r="510" spans="2:52" x14ac:dyDescent="0.35">
      <c r="B510" s="7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10"/>
    </row>
    <row r="511" spans="2:52" x14ac:dyDescent="0.35">
      <c r="B511" s="7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10"/>
    </row>
    <row r="512" spans="2:52" x14ac:dyDescent="0.35">
      <c r="B512" s="7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10"/>
    </row>
    <row r="513" spans="2:52" x14ac:dyDescent="0.35">
      <c r="B513" s="7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10"/>
    </row>
    <row r="514" spans="2:52" x14ac:dyDescent="0.35">
      <c r="B514" s="7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10"/>
    </row>
    <row r="515" spans="2:52" x14ac:dyDescent="0.35">
      <c r="B515" s="7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10"/>
    </row>
    <row r="516" spans="2:52" x14ac:dyDescent="0.35">
      <c r="B516" s="7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10"/>
    </row>
    <row r="517" spans="2:52" x14ac:dyDescent="0.35">
      <c r="B517" s="7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10"/>
    </row>
    <row r="518" spans="2:52" x14ac:dyDescent="0.35">
      <c r="B518" s="7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10"/>
    </row>
    <row r="519" spans="2:52" x14ac:dyDescent="0.35">
      <c r="B519" s="7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10"/>
    </row>
    <row r="520" spans="2:52" x14ac:dyDescent="0.35">
      <c r="B520" s="7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10"/>
    </row>
    <row r="521" spans="2:52" x14ac:dyDescent="0.35">
      <c r="B521" s="7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10"/>
    </row>
    <row r="522" spans="2:52" x14ac:dyDescent="0.35">
      <c r="B522" s="7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10"/>
    </row>
    <row r="523" spans="2:52" x14ac:dyDescent="0.35">
      <c r="B523" s="7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10"/>
    </row>
    <row r="524" spans="2:52" x14ac:dyDescent="0.35">
      <c r="B524" s="7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10"/>
    </row>
    <row r="525" spans="2:52" x14ac:dyDescent="0.35">
      <c r="B525" s="7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10"/>
    </row>
    <row r="526" spans="2:52" x14ac:dyDescent="0.35">
      <c r="B526" s="7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10"/>
    </row>
    <row r="527" spans="2:52" x14ac:dyDescent="0.35">
      <c r="B527" s="7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10"/>
    </row>
    <row r="528" spans="2:52" x14ac:dyDescent="0.35">
      <c r="B528" s="7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10"/>
    </row>
    <row r="529" spans="2:52" x14ac:dyDescent="0.35">
      <c r="B529" s="7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10"/>
    </row>
    <row r="530" spans="2:52" x14ac:dyDescent="0.35">
      <c r="B530" s="7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10"/>
    </row>
    <row r="531" spans="2:52" x14ac:dyDescent="0.35">
      <c r="B531" s="7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10"/>
    </row>
    <row r="532" spans="2:52" x14ac:dyDescent="0.35">
      <c r="B532" s="7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10"/>
    </row>
    <row r="533" spans="2:52" x14ac:dyDescent="0.35">
      <c r="B533" s="7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10"/>
    </row>
    <row r="534" spans="2:52" x14ac:dyDescent="0.35">
      <c r="B534" s="7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10"/>
    </row>
    <row r="535" spans="2:52" x14ac:dyDescent="0.35">
      <c r="B535" s="7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10"/>
    </row>
    <row r="536" spans="2:52" x14ac:dyDescent="0.35">
      <c r="B536" s="7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10"/>
    </row>
    <row r="537" spans="2:52" x14ac:dyDescent="0.35">
      <c r="B537" s="7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10"/>
    </row>
    <row r="538" spans="2:52" x14ac:dyDescent="0.35">
      <c r="B538" s="7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10"/>
    </row>
    <row r="539" spans="2:52" x14ac:dyDescent="0.35">
      <c r="B539" s="7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10"/>
    </row>
    <row r="540" spans="2:52" x14ac:dyDescent="0.35">
      <c r="B540" s="7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10"/>
    </row>
    <row r="541" spans="2:52" x14ac:dyDescent="0.35">
      <c r="B541" s="7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10"/>
    </row>
    <row r="542" spans="2:52" x14ac:dyDescent="0.35">
      <c r="B542" s="7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10"/>
    </row>
    <row r="543" spans="2:52" x14ac:dyDescent="0.35">
      <c r="B543" s="7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10"/>
    </row>
    <row r="544" spans="2:52" x14ac:dyDescent="0.35">
      <c r="B544" s="7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10"/>
    </row>
    <row r="545" spans="2:52" x14ac:dyDescent="0.35">
      <c r="B545" s="7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10"/>
    </row>
    <row r="546" spans="2:52" x14ac:dyDescent="0.35">
      <c r="B546" s="7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10"/>
    </row>
    <row r="547" spans="2:52" x14ac:dyDescent="0.35">
      <c r="B547" s="7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10"/>
    </row>
    <row r="548" spans="2:52" x14ac:dyDescent="0.35">
      <c r="B548" s="7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10"/>
    </row>
    <row r="549" spans="2:52" x14ac:dyDescent="0.35">
      <c r="B549" s="7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10"/>
    </row>
    <row r="550" spans="2:52" x14ac:dyDescent="0.35">
      <c r="B550" s="7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10"/>
    </row>
    <row r="551" spans="2:52" x14ac:dyDescent="0.35">
      <c r="B551" s="7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10"/>
    </row>
    <row r="552" spans="2:52" x14ac:dyDescent="0.35">
      <c r="B552" s="7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10"/>
    </row>
    <row r="553" spans="2:52" x14ac:dyDescent="0.35">
      <c r="B553" s="7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10"/>
    </row>
    <row r="554" spans="2:52" x14ac:dyDescent="0.35">
      <c r="B554" s="7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10"/>
    </row>
    <row r="555" spans="2:52" x14ac:dyDescent="0.35">
      <c r="B555" s="7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10"/>
    </row>
    <row r="556" spans="2:52" x14ac:dyDescent="0.35">
      <c r="B556" s="7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10"/>
    </row>
    <row r="557" spans="2:52" x14ac:dyDescent="0.35">
      <c r="B557" s="7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10"/>
    </row>
    <row r="558" spans="2:52" x14ac:dyDescent="0.35">
      <c r="B558" s="7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10"/>
    </row>
    <row r="559" spans="2:52" x14ac:dyDescent="0.35">
      <c r="B559" s="7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10"/>
    </row>
    <row r="560" spans="2:52" x14ac:dyDescent="0.35">
      <c r="B560" s="7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10"/>
    </row>
    <row r="561" spans="2:52" x14ac:dyDescent="0.35">
      <c r="B561" s="7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10"/>
    </row>
    <row r="562" spans="2:52" x14ac:dyDescent="0.35">
      <c r="B562" s="7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10"/>
    </row>
    <row r="563" spans="2:52" x14ac:dyDescent="0.35">
      <c r="B563" s="7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10"/>
    </row>
    <row r="564" spans="2:52" x14ac:dyDescent="0.35">
      <c r="B564" s="7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10"/>
    </row>
    <row r="565" spans="2:52" x14ac:dyDescent="0.35">
      <c r="B565" s="7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10"/>
    </row>
    <row r="566" spans="2:52" x14ac:dyDescent="0.35">
      <c r="B566" s="7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10"/>
    </row>
    <row r="567" spans="2:52" x14ac:dyDescent="0.35">
      <c r="B567" s="7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10"/>
    </row>
    <row r="568" spans="2:52" x14ac:dyDescent="0.35">
      <c r="B568" s="7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10"/>
    </row>
    <row r="569" spans="2:52" x14ac:dyDescent="0.35">
      <c r="B569" s="7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10"/>
    </row>
    <row r="570" spans="2:52" x14ac:dyDescent="0.35">
      <c r="B570" s="7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10"/>
    </row>
    <row r="571" spans="2:52" x14ac:dyDescent="0.35">
      <c r="B571" s="7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10"/>
    </row>
    <row r="572" spans="2:52" x14ac:dyDescent="0.35">
      <c r="B572" s="7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10"/>
    </row>
    <row r="573" spans="2:52" x14ac:dyDescent="0.35">
      <c r="B573" s="7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10"/>
    </row>
    <row r="574" spans="2:52" x14ac:dyDescent="0.35">
      <c r="B574" s="7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10"/>
    </row>
    <row r="575" spans="2:52" x14ac:dyDescent="0.35">
      <c r="B575" s="7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10"/>
    </row>
    <row r="576" spans="2:52" x14ac:dyDescent="0.35">
      <c r="B576" s="7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10"/>
    </row>
    <row r="577" spans="2:52" x14ac:dyDescent="0.35">
      <c r="B577" s="7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10"/>
    </row>
    <row r="578" spans="2:52" x14ac:dyDescent="0.35">
      <c r="B578" s="7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10"/>
    </row>
    <row r="579" spans="2:52" x14ac:dyDescent="0.35">
      <c r="B579" s="7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10"/>
    </row>
    <row r="580" spans="2:52" x14ac:dyDescent="0.35">
      <c r="B580" s="7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10"/>
    </row>
    <row r="581" spans="2:52" x14ac:dyDescent="0.35">
      <c r="B581" s="7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10"/>
    </row>
    <row r="582" spans="2:52" x14ac:dyDescent="0.35">
      <c r="B582" s="7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10"/>
    </row>
    <row r="583" spans="2:52" x14ac:dyDescent="0.35">
      <c r="B583" s="7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10"/>
    </row>
    <row r="584" spans="2:52" x14ac:dyDescent="0.35">
      <c r="B584" s="7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10"/>
    </row>
    <row r="585" spans="2:52" x14ac:dyDescent="0.35">
      <c r="B585" s="7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10"/>
    </row>
    <row r="586" spans="2:52" x14ac:dyDescent="0.35">
      <c r="B586" s="7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10"/>
    </row>
    <row r="587" spans="2:52" x14ac:dyDescent="0.35">
      <c r="B587" s="7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10"/>
    </row>
    <row r="588" spans="2:52" x14ac:dyDescent="0.35">
      <c r="B588" s="7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10"/>
    </row>
    <row r="589" spans="2:52" x14ac:dyDescent="0.35">
      <c r="B589" s="7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10"/>
    </row>
    <row r="590" spans="2:52" x14ac:dyDescent="0.35">
      <c r="B590" s="7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10"/>
    </row>
    <row r="591" spans="2:52" x14ac:dyDescent="0.35">
      <c r="B591" s="7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10"/>
    </row>
    <row r="592" spans="2:52" x14ac:dyDescent="0.35">
      <c r="B592" s="7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10"/>
    </row>
    <row r="593" spans="2:52" x14ac:dyDescent="0.35">
      <c r="B593" s="7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10"/>
    </row>
    <row r="594" spans="2:52" x14ac:dyDescent="0.35">
      <c r="B594" s="7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10"/>
    </row>
    <row r="595" spans="2:52" x14ac:dyDescent="0.35">
      <c r="B595" s="7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10"/>
    </row>
    <row r="596" spans="2:52" x14ac:dyDescent="0.35">
      <c r="B596" s="7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10"/>
    </row>
    <row r="597" spans="2:52" x14ac:dyDescent="0.35">
      <c r="B597" s="7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10"/>
    </row>
    <row r="598" spans="2:52" x14ac:dyDescent="0.35">
      <c r="B598" s="7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10"/>
    </row>
    <row r="599" spans="2:52" x14ac:dyDescent="0.35">
      <c r="B599" s="7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10"/>
    </row>
    <row r="600" spans="2:52" x14ac:dyDescent="0.35">
      <c r="B600" s="7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10"/>
    </row>
    <row r="601" spans="2:52" x14ac:dyDescent="0.35">
      <c r="B601" s="7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10"/>
    </row>
    <row r="602" spans="2:52" x14ac:dyDescent="0.35">
      <c r="B602" s="7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10"/>
    </row>
    <row r="603" spans="2:52" x14ac:dyDescent="0.35">
      <c r="B603" s="7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10"/>
    </row>
    <row r="604" spans="2:52" x14ac:dyDescent="0.35">
      <c r="B604" s="7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10"/>
    </row>
    <row r="605" spans="2:52" x14ac:dyDescent="0.35">
      <c r="B605" s="7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10"/>
    </row>
    <row r="606" spans="2:52" x14ac:dyDescent="0.35">
      <c r="B606" s="7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10"/>
    </row>
    <row r="607" spans="2:52" x14ac:dyDescent="0.35">
      <c r="B607" s="7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10"/>
    </row>
    <row r="608" spans="2:52" x14ac:dyDescent="0.35">
      <c r="B608" s="7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10"/>
    </row>
    <row r="609" spans="2:52" x14ac:dyDescent="0.35">
      <c r="B609" s="7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10"/>
    </row>
    <row r="610" spans="2:52" x14ac:dyDescent="0.35">
      <c r="B610" s="7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10"/>
    </row>
    <row r="611" spans="2:52" x14ac:dyDescent="0.35">
      <c r="B611" s="7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10"/>
    </row>
    <row r="612" spans="2:52" x14ac:dyDescent="0.35">
      <c r="B612" s="7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10"/>
    </row>
    <row r="613" spans="2:52" x14ac:dyDescent="0.35">
      <c r="B613" s="7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10"/>
    </row>
    <row r="614" spans="2:52" x14ac:dyDescent="0.35">
      <c r="B614" s="7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10"/>
    </row>
    <row r="615" spans="2:52" x14ac:dyDescent="0.35">
      <c r="B615" s="7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10"/>
    </row>
    <row r="616" spans="2:52" x14ac:dyDescent="0.35">
      <c r="B616" s="7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10"/>
    </row>
    <row r="617" spans="2:52" x14ac:dyDescent="0.35">
      <c r="B617" s="7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10"/>
    </row>
    <row r="618" spans="2:52" x14ac:dyDescent="0.35">
      <c r="B618" s="7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10"/>
    </row>
    <row r="619" spans="2:52" x14ac:dyDescent="0.35">
      <c r="B619" s="7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10"/>
    </row>
    <row r="620" spans="2:52" x14ac:dyDescent="0.35">
      <c r="B620" s="7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10"/>
    </row>
    <row r="621" spans="2:52" x14ac:dyDescent="0.35">
      <c r="B621" s="7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10"/>
    </row>
    <row r="622" spans="2:52" x14ac:dyDescent="0.35">
      <c r="B622" s="7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10"/>
    </row>
    <row r="623" spans="2:52" x14ac:dyDescent="0.35">
      <c r="B623" s="7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10"/>
    </row>
    <row r="624" spans="2:52" x14ac:dyDescent="0.35">
      <c r="B624" s="7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10"/>
    </row>
    <row r="625" spans="2:52" x14ac:dyDescent="0.35">
      <c r="B625" s="7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10"/>
    </row>
    <row r="626" spans="2:52" x14ac:dyDescent="0.35">
      <c r="B626" s="7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10"/>
    </row>
    <row r="627" spans="2:52" x14ac:dyDescent="0.35">
      <c r="B627" s="7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10"/>
    </row>
    <row r="628" spans="2:52" x14ac:dyDescent="0.35">
      <c r="B628" s="7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10"/>
    </row>
    <row r="629" spans="2:52" x14ac:dyDescent="0.35">
      <c r="B629" s="7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10"/>
    </row>
    <row r="630" spans="2:52" x14ac:dyDescent="0.35">
      <c r="B630" s="7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10"/>
    </row>
    <row r="631" spans="2:52" x14ac:dyDescent="0.35">
      <c r="B631" s="7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10"/>
    </row>
    <row r="632" spans="2:52" x14ac:dyDescent="0.35">
      <c r="B632" s="7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10"/>
    </row>
    <row r="633" spans="2:52" x14ac:dyDescent="0.35">
      <c r="B633" s="7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10"/>
    </row>
    <row r="634" spans="2:52" x14ac:dyDescent="0.35">
      <c r="B634" s="7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10"/>
    </row>
    <row r="635" spans="2:52" x14ac:dyDescent="0.35">
      <c r="B635" s="7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10"/>
    </row>
    <row r="636" spans="2:52" x14ac:dyDescent="0.35">
      <c r="B636" s="7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10"/>
    </row>
    <row r="637" spans="2:52" x14ac:dyDescent="0.35">
      <c r="B637" s="7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10"/>
    </row>
    <row r="638" spans="2:52" x14ac:dyDescent="0.35">
      <c r="B638" s="7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10"/>
    </row>
    <row r="639" spans="2:52" x14ac:dyDescent="0.35">
      <c r="B639" s="7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10"/>
    </row>
    <row r="640" spans="2:52" x14ac:dyDescent="0.35">
      <c r="B640" s="7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10"/>
    </row>
    <row r="641" spans="2:52" x14ac:dyDescent="0.35">
      <c r="B641" s="7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10"/>
    </row>
    <row r="642" spans="2:52" x14ac:dyDescent="0.35">
      <c r="B642" s="7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10"/>
    </row>
    <row r="643" spans="2:52" x14ac:dyDescent="0.35">
      <c r="B643" s="7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10"/>
    </row>
    <row r="644" spans="2:52" x14ac:dyDescent="0.35">
      <c r="B644" s="7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10"/>
    </row>
    <row r="645" spans="2:52" x14ac:dyDescent="0.35">
      <c r="B645" s="7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10"/>
    </row>
    <row r="646" spans="2:52" x14ac:dyDescent="0.35">
      <c r="B646" s="7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10"/>
    </row>
    <row r="647" spans="2:52" x14ac:dyDescent="0.35">
      <c r="B647" s="7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10"/>
    </row>
    <row r="648" spans="2:52" x14ac:dyDescent="0.35">
      <c r="B648" s="7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10"/>
    </row>
    <row r="649" spans="2:52" x14ac:dyDescent="0.35">
      <c r="B649" s="7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10"/>
    </row>
    <row r="650" spans="2:52" x14ac:dyDescent="0.35">
      <c r="B650" s="7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10"/>
    </row>
    <row r="651" spans="2:52" x14ac:dyDescent="0.35">
      <c r="B651" s="7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10"/>
    </row>
    <row r="652" spans="2:52" x14ac:dyDescent="0.35">
      <c r="B652" s="7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10"/>
    </row>
    <row r="653" spans="2:52" x14ac:dyDescent="0.35">
      <c r="B653" s="7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10"/>
    </row>
    <row r="654" spans="2:52" x14ac:dyDescent="0.35">
      <c r="B654" s="7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10"/>
    </row>
    <row r="655" spans="2:52" x14ac:dyDescent="0.35">
      <c r="B655" s="7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10"/>
    </row>
    <row r="656" spans="2:52" x14ac:dyDescent="0.35">
      <c r="B656" s="7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10"/>
    </row>
    <row r="657" spans="2:52" x14ac:dyDescent="0.35">
      <c r="B657" s="7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10"/>
    </row>
    <row r="658" spans="2:52" x14ac:dyDescent="0.35">
      <c r="B658" s="7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10"/>
    </row>
    <row r="659" spans="2:52" x14ac:dyDescent="0.35">
      <c r="B659" s="7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10"/>
    </row>
    <row r="660" spans="2:52" x14ac:dyDescent="0.35">
      <c r="B660" s="7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10"/>
    </row>
    <row r="661" spans="2:52" x14ac:dyDescent="0.35">
      <c r="B661" s="7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10"/>
    </row>
    <row r="662" spans="2:52" x14ac:dyDescent="0.35">
      <c r="B662" s="7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10"/>
    </row>
    <row r="663" spans="2:52" x14ac:dyDescent="0.35">
      <c r="B663" s="7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10"/>
    </row>
    <row r="664" spans="2:52" x14ac:dyDescent="0.35">
      <c r="B664" s="7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10"/>
    </row>
    <row r="665" spans="2:52" x14ac:dyDescent="0.35">
      <c r="B665" s="7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10"/>
    </row>
    <row r="666" spans="2:52" x14ac:dyDescent="0.35">
      <c r="B666" s="7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10"/>
    </row>
    <row r="667" spans="2:52" x14ac:dyDescent="0.35">
      <c r="B667" s="7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10"/>
    </row>
    <row r="668" spans="2:52" x14ac:dyDescent="0.35">
      <c r="B668" s="7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10"/>
    </row>
    <row r="669" spans="2:52" x14ac:dyDescent="0.35">
      <c r="B669" s="7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10"/>
    </row>
    <row r="670" spans="2:52" x14ac:dyDescent="0.35">
      <c r="B670" s="7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10"/>
    </row>
    <row r="671" spans="2:52" x14ac:dyDescent="0.35">
      <c r="B671" s="7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10"/>
    </row>
    <row r="672" spans="2:52" x14ac:dyDescent="0.35">
      <c r="B672" s="7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10"/>
    </row>
    <row r="673" spans="2:52" x14ac:dyDescent="0.35">
      <c r="B673" s="7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10"/>
    </row>
    <row r="674" spans="2:52" x14ac:dyDescent="0.35">
      <c r="B674" s="7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10"/>
    </row>
    <row r="675" spans="2:52" x14ac:dyDescent="0.35">
      <c r="B675" s="7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10"/>
    </row>
    <row r="676" spans="2:52" x14ac:dyDescent="0.35">
      <c r="B676" s="7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10"/>
    </row>
    <row r="677" spans="2:52" x14ac:dyDescent="0.35">
      <c r="B677" s="7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10"/>
    </row>
    <row r="678" spans="2:52" x14ac:dyDescent="0.35">
      <c r="B678" s="7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10"/>
    </row>
    <row r="679" spans="2:52" x14ac:dyDescent="0.35">
      <c r="B679" s="7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10"/>
    </row>
    <row r="680" spans="2:52" x14ac:dyDescent="0.35">
      <c r="B680" s="7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10"/>
    </row>
    <row r="681" spans="2:52" x14ac:dyDescent="0.35">
      <c r="B681" s="7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10"/>
    </row>
    <row r="682" spans="2:52" x14ac:dyDescent="0.35">
      <c r="B682" s="7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10"/>
    </row>
    <row r="683" spans="2:52" x14ac:dyDescent="0.35">
      <c r="B683" s="7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10"/>
    </row>
    <row r="684" spans="2:52" x14ac:dyDescent="0.35">
      <c r="B684" s="7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10"/>
    </row>
    <row r="685" spans="2:52" x14ac:dyDescent="0.35">
      <c r="B685" s="7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10"/>
    </row>
    <row r="686" spans="2:52" x14ac:dyDescent="0.35">
      <c r="B686" s="7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10"/>
    </row>
    <row r="687" spans="2:52" x14ac:dyDescent="0.35">
      <c r="B687" s="7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10"/>
    </row>
    <row r="688" spans="2:52" x14ac:dyDescent="0.35">
      <c r="B688" s="7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10"/>
    </row>
    <row r="689" spans="2:52" x14ac:dyDescent="0.35">
      <c r="B689" s="7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10"/>
    </row>
    <row r="690" spans="2:52" x14ac:dyDescent="0.35">
      <c r="B690" s="7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10"/>
    </row>
    <row r="691" spans="2:52" x14ac:dyDescent="0.35">
      <c r="B691" s="7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10"/>
    </row>
    <row r="692" spans="2:52" x14ac:dyDescent="0.35">
      <c r="B692" s="7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10"/>
    </row>
    <row r="693" spans="2:52" x14ac:dyDescent="0.35">
      <c r="B693" s="7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10"/>
    </row>
    <row r="694" spans="2:52" x14ac:dyDescent="0.35">
      <c r="B694" s="7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10"/>
    </row>
    <row r="695" spans="2:52" x14ac:dyDescent="0.35">
      <c r="B695" s="7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10"/>
    </row>
    <row r="696" spans="2:52" x14ac:dyDescent="0.35">
      <c r="B696" s="7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10"/>
    </row>
    <row r="697" spans="2:52" x14ac:dyDescent="0.35">
      <c r="B697" s="7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10"/>
    </row>
    <row r="698" spans="2:52" x14ac:dyDescent="0.35">
      <c r="B698" s="7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10"/>
    </row>
    <row r="699" spans="2:52" x14ac:dyDescent="0.35">
      <c r="B699" s="7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10"/>
    </row>
    <row r="700" spans="2:52" x14ac:dyDescent="0.35">
      <c r="B700" s="7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10"/>
    </row>
    <row r="701" spans="2:52" x14ac:dyDescent="0.35">
      <c r="B701" s="7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10"/>
    </row>
    <row r="702" spans="2:52" x14ac:dyDescent="0.35">
      <c r="B702" s="7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10"/>
    </row>
    <row r="703" spans="2:52" x14ac:dyDescent="0.35">
      <c r="B703" s="7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10"/>
    </row>
    <row r="704" spans="2:52" x14ac:dyDescent="0.35">
      <c r="B704" s="7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10"/>
    </row>
    <row r="705" spans="2:52" x14ac:dyDescent="0.35">
      <c r="B705" s="7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10"/>
    </row>
    <row r="706" spans="2:52" x14ac:dyDescent="0.35">
      <c r="B706" s="7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10"/>
    </row>
    <row r="707" spans="2:52" x14ac:dyDescent="0.35">
      <c r="B707" s="7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10"/>
    </row>
    <row r="708" spans="2:52" x14ac:dyDescent="0.35">
      <c r="B708" s="7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10"/>
    </row>
    <row r="709" spans="2:52" x14ac:dyDescent="0.35">
      <c r="B709" s="7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10"/>
    </row>
    <row r="710" spans="2:52" x14ac:dyDescent="0.35">
      <c r="B710" s="7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10"/>
    </row>
    <row r="711" spans="2:52" x14ac:dyDescent="0.35">
      <c r="B711" s="7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10"/>
    </row>
    <row r="712" spans="2:52" x14ac:dyDescent="0.35">
      <c r="B712" s="7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10"/>
    </row>
    <row r="713" spans="2:52" x14ac:dyDescent="0.35">
      <c r="B713" s="7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10"/>
    </row>
    <row r="714" spans="2:52" x14ac:dyDescent="0.35">
      <c r="B714" s="7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10"/>
    </row>
    <row r="715" spans="2:52" x14ac:dyDescent="0.35">
      <c r="B715" s="7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10"/>
    </row>
    <row r="716" spans="2:52" x14ac:dyDescent="0.35">
      <c r="B716" s="7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10"/>
    </row>
    <row r="717" spans="2:52" x14ac:dyDescent="0.35">
      <c r="B717" s="7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10"/>
    </row>
    <row r="718" spans="2:52" x14ac:dyDescent="0.35">
      <c r="B718" s="7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10"/>
    </row>
    <row r="719" spans="2:52" x14ac:dyDescent="0.35">
      <c r="B719" s="7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10"/>
    </row>
    <row r="720" spans="2:52" x14ac:dyDescent="0.35">
      <c r="B720" s="7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10"/>
    </row>
    <row r="721" spans="2:52" x14ac:dyDescent="0.35">
      <c r="B721" s="7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10"/>
    </row>
    <row r="722" spans="2:52" x14ac:dyDescent="0.35">
      <c r="B722" s="7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10"/>
    </row>
    <row r="723" spans="2:52" x14ac:dyDescent="0.35">
      <c r="B723" s="7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10"/>
    </row>
    <row r="724" spans="2:52" x14ac:dyDescent="0.35">
      <c r="B724" s="7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10"/>
    </row>
    <row r="725" spans="2:52" x14ac:dyDescent="0.35">
      <c r="B725" s="7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10"/>
    </row>
    <row r="726" spans="2:52" x14ac:dyDescent="0.35">
      <c r="B726" s="7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10"/>
    </row>
    <row r="727" spans="2:52" x14ac:dyDescent="0.35">
      <c r="B727" s="7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10"/>
    </row>
    <row r="728" spans="2:52" x14ac:dyDescent="0.35">
      <c r="B728" s="7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10"/>
    </row>
    <row r="729" spans="2:52" x14ac:dyDescent="0.35">
      <c r="B729" s="7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10"/>
    </row>
    <row r="730" spans="2:52" x14ac:dyDescent="0.35">
      <c r="B730" s="7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10"/>
    </row>
    <row r="731" spans="2:52" x14ac:dyDescent="0.35">
      <c r="B731" s="7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10"/>
    </row>
    <row r="732" spans="2:52" x14ac:dyDescent="0.35">
      <c r="B732" s="7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10"/>
    </row>
    <row r="733" spans="2:52" x14ac:dyDescent="0.35">
      <c r="B733" s="7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10"/>
    </row>
    <row r="734" spans="2:52" x14ac:dyDescent="0.35">
      <c r="B734" s="7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10"/>
    </row>
    <row r="735" spans="2:52" x14ac:dyDescent="0.35">
      <c r="B735" s="7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10"/>
    </row>
    <row r="736" spans="2:52" x14ac:dyDescent="0.35">
      <c r="B736" s="7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10"/>
    </row>
    <row r="737" spans="2:52" x14ac:dyDescent="0.35">
      <c r="B737" s="7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10"/>
    </row>
    <row r="738" spans="2:52" x14ac:dyDescent="0.35">
      <c r="B738" s="7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10"/>
    </row>
    <row r="739" spans="2:52" x14ac:dyDescent="0.35">
      <c r="B739" s="7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10"/>
    </row>
    <row r="740" spans="2:52" x14ac:dyDescent="0.35">
      <c r="B740" s="7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10"/>
    </row>
    <row r="741" spans="2:52" x14ac:dyDescent="0.35">
      <c r="B741" s="7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10"/>
    </row>
    <row r="742" spans="2:52" x14ac:dyDescent="0.35">
      <c r="B742" s="7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10"/>
    </row>
    <row r="743" spans="2:52" x14ac:dyDescent="0.35">
      <c r="B743" s="7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10"/>
    </row>
    <row r="744" spans="2:52" x14ac:dyDescent="0.35">
      <c r="B744" s="7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10"/>
    </row>
    <row r="745" spans="2:52" x14ac:dyDescent="0.35">
      <c r="B745" s="7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10"/>
    </row>
    <row r="746" spans="2:52" x14ac:dyDescent="0.35">
      <c r="B746" s="7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10"/>
    </row>
    <row r="747" spans="2:52" x14ac:dyDescent="0.35">
      <c r="B747" s="7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10"/>
    </row>
    <row r="748" spans="2:52" x14ac:dyDescent="0.35">
      <c r="B748" s="7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10"/>
    </row>
    <row r="749" spans="2:52" x14ac:dyDescent="0.35">
      <c r="B749" s="7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10"/>
    </row>
    <row r="750" spans="2:52" x14ac:dyDescent="0.35">
      <c r="B750" s="7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10"/>
    </row>
    <row r="751" spans="2:52" x14ac:dyDescent="0.35">
      <c r="B751" s="7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10"/>
    </row>
    <row r="752" spans="2:52" x14ac:dyDescent="0.35">
      <c r="B752" s="7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10"/>
    </row>
    <row r="753" spans="2:52" x14ac:dyDescent="0.35">
      <c r="B753" s="7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10"/>
    </row>
    <row r="754" spans="2:52" x14ac:dyDescent="0.35">
      <c r="B754" s="7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10"/>
    </row>
    <row r="755" spans="2:52" x14ac:dyDescent="0.35">
      <c r="B755" s="7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10"/>
    </row>
    <row r="756" spans="2:52" x14ac:dyDescent="0.35">
      <c r="B756" s="7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10"/>
    </row>
    <row r="757" spans="2:52" x14ac:dyDescent="0.35">
      <c r="B757" s="7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10"/>
    </row>
    <row r="758" spans="2:52" x14ac:dyDescent="0.35">
      <c r="B758" s="7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10"/>
    </row>
    <row r="759" spans="2:52" x14ac:dyDescent="0.35">
      <c r="B759" s="7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10"/>
    </row>
    <row r="760" spans="2:52" x14ac:dyDescent="0.35">
      <c r="B760" s="7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10"/>
    </row>
    <row r="761" spans="2:52" x14ac:dyDescent="0.35">
      <c r="B761" s="7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10"/>
    </row>
    <row r="762" spans="2:52" x14ac:dyDescent="0.35">
      <c r="B762" s="7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10"/>
    </row>
    <row r="763" spans="2:52" x14ac:dyDescent="0.35">
      <c r="B763" s="7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10"/>
    </row>
    <row r="764" spans="2:52" x14ac:dyDescent="0.35">
      <c r="B764" s="7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10"/>
    </row>
    <row r="765" spans="2:52" x14ac:dyDescent="0.35">
      <c r="B765" s="7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10"/>
    </row>
    <row r="766" spans="2:52" x14ac:dyDescent="0.35">
      <c r="B766" s="7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10"/>
    </row>
    <row r="767" spans="2:52" x14ac:dyDescent="0.35">
      <c r="B767" s="7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10"/>
    </row>
    <row r="768" spans="2:52" x14ac:dyDescent="0.35">
      <c r="B768" s="7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10"/>
    </row>
    <row r="769" spans="2:52" x14ac:dyDescent="0.35">
      <c r="B769" s="7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10"/>
    </row>
    <row r="770" spans="2:52" x14ac:dyDescent="0.35">
      <c r="B770" s="7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10"/>
    </row>
    <row r="771" spans="2:52" x14ac:dyDescent="0.35">
      <c r="B771" s="7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10"/>
    </row>
    <row r="772" spans="2:52" x14ac:dyDescent="0.35">
      <c r="B772" s="7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10"/>
    </row>
    <row r="773" spans="2:52" x14ac:dyDescent="0.35">
      <c r="B773" s="7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10"/>
    </row>
    <row r="774" spans="2:52" x14ac:dyDescent="0.35">
      <c r="B774" s="7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10"/>
    </row>
    <row r="775" spans="2:52" x14ac:dyDescent="0.35">
      <c r="B775" s="7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10"/>
    </row>
    <row r="776" spans="2:52" x14ac:dyDescent="0.35">
      <c r="B776" s="7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10"/>
    </row>
    <row r="777" spans="2:52" x14ac:dyDescent="0.35">
      <c r="B777" s="7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10"/>
    </row>
    <row r="778" spans="2:52" x14ac:dyDescent="0.35">
      <c r="B778" s="7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10"/>
    </row>
    <row r="779" spans="2:52" x14ac:dyDescent="0.35">
      <c r="B779" s="7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10"/>
    </row>
    <row r="780" spans="2:52" x14ac:dyDescent="0.35">
      <c r="B780" s="7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10"/>
    </row>
    <row r="781" spans="2:52" x14ac:dyDescent="0.35">
      <c r="B781" s="7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10"/>
    </row>
    <row r="782" spans="2:52" x14ac:dyDescent="0.35">
      <c r="B782" s="7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10"/>
    </row>
    <row r="783" spans="2:52" x14ac:dyDescent="0.35">
      <c r="B783" s="7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10"/>
    </row>
    <row r="784" spans="2:52" x14ac:dyDescent="0.35">
      <c r="B784" s="7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10"/>
    </row>
    <row r="785" spans="2:52" x14ac:dyDescent="0.35">
      <c r="B785" s="7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10"/>
    </row>
    <row r="786" spans="2:52" x14ac:dyDescent="0.35">
      <c r="B786" s="7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10"/>
    </row>
    <row r="787" spans="2:52" x14ac:dyDescent="0.35">
      <c r="B787" s="7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10"/>
    </row>
    <row r="788" spans="2:52" x14ac:dyDescent="0.35">
      <c r="B788" s="7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10"/>
    </row>
    <row r="789" spans="2:52" x14ac:dyDescent="0.35">
      <c r="B789" s="7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10"/>
    </row>
    <row r="790" spans="2:52" x14ac:dyDescent="0.35">
      <c r="B790" s="7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10"/>
    </row>
    <row r="791" spans="2:52" x14ac:dyDescent="0.35">
      <c r="B791" s="7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10"/>
    </row>
    <row r="792" spans="2:52" x14ac:dyDescent="0.35">
      <c r="B792" s="7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10"/>
    </row>
    <row r="793" spans="2:52" x14ac:dyDescent="0.35">
      <c r="B793" s="7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10"/>
    </row>
    <row r="794" spans="2:52" x14ac:dyDescent="0.35">
      <c r="B794" s="7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10"/>
    </row>
    <row r="795" spans="2:52" x14ac:dyDescent="0.35">
      <c r="B795" s="7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10"/>
    </row>
    <row r="796" spans="2:52" x14ac:dyDescent="0.35">
      <c r="B796" s="7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10"/>
    </row>
    <row r="797" spans="2:52" x14ac:dyDescent="0.35">
      <c r="B797" s="7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10"/>
    </row>
    <row r="798" spans="2:52" x14ac:dyDescent="0.35">
      <c r="B798" s="7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10"/>
    </row>
    <row r="799" spans="2:52" x14ac:dyDescent="0.35">
      <c r="B799" s="7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10"/>
    </row>
    <row r="800" spans="2:52" x14ac:dyDescent="0.35">
      <c r="B800" s="7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10"/>
    </row>
    <row r="801" spans="2:52" x14ac:dyDescent="0.35">
      <c r="B801" s="7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10"/>
    </row>
    <row r="802" spans="2:52" x14ac:dyDescent="0.35">
      <c r="B802" s="7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10"/>
    </row>
    <row r="803" spans="2:52" x14ac:dyDescent="0.35">
      <c r="B803" s="7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10"/>
    </row>
    <row r="804" spans="2:52" x14ac:dyDescent="0.35">
      <c r="B804" s="7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10"/>
    </row>
    <row r="805" spans="2:52" x14ac:dyDescent="0.35">
      <c r="B805" s="7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10"/>
    </row>
    <row r="806" spans="2:52" x14ac:dyDescent="0.35">
      <c r="B806" s="7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10"/>
    </row>
    <row r="807" spans="2:52" x14ac:dyDescent="0.35">
      <c r="B807" s="7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10"/>
    </row>
    <row r="808" spans="2:52" x14ac:dyDescent="0.35">
      <c r="B808" s="7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10"/>
    </row>
    <row r="809" spans="2:52" x14ac:dyDescent="0.35">
      <c r="B809" s="7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10"/>
    </row>
    <row r="810" spans="2:52" x14ac:dyDescent="0.35">
      <c r="B810" s="7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10"/>
    </row>
    <row r="811" spans="2:52" x14ac:dyDescent="0.35">
      <c r="B811" s="7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10"/>
    </row>
    <row r="812" spans="2:52" x14ac:dyDescent="0.35">
      <c r="B812" s="7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10"/>
    </row>
    <row r="813" spans="2:52" x14ac:dyDescent="0.35">
      <c r="B813" s="7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10"/>
    </row>
    <row r="814" spans="2:52" x14ac:dyDescent="0.35">
      <c r="B814" s="7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10"/>
    </row>
    <row r="815" spans="2:52" x14ac:dyDescent="0.35">
      <c r="B815" s="7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10"/>
    </row>
    <row r="816" spans="2:52" x14ac:dyDescent="0.35">
      <c r="B816" s="7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10"/>
    </row>
    <row r="817" spans="2:52" x14ac:dyDescent="0.35">
      <c r="B817" s="7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10"/>
    </row>
    <row r="818" spans="2:52" x14ac:dyDescent="0.35">
      <c r="B818" s="7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10"/>
    </row>
    <row r="819" spans="2:52" x14ac:dyDescent="0.35">
      <c r="B819" s="7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10"/>
    </row>
    <row r="820" spans="2:52" x14ac:dyDescent="0.35">
      <c r="B820" s="7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10"/>
    </row>
    <row r="821" spans="2:52" x14ac:dyDescent="0.35">
      <c r="B821" s="7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10"/>
    </row>
    <row r="822" spans="2:52" x14ac:dyDescent="0.35">
      <c r="B822" s="7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10"/>
    </row>
    <row r="823" spans="2:52" x14ac:dyDescent="0.35">
      <c r="B823" s="7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10"/>
    </row>
    <row r="824" spans="2:52" x14ac:dyDescent="0.35">
      <c r="B824" s="7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10"/>
    </row>
    <row r="825" spans="2:52" x14ac:dyDescent="0.35">
      <c r="B825" s="7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10"/>
    </row>
    <row r="826" spans="2:52" x14ac:dyDescent="0.35">
      <c r="B826" s="7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10"/>
    </row>
    <row r="827" spans="2:52" x14ac:dyDescent="0.35">
      <c r="B827" s="7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10"/>
    </row>
    <row r="828" spans="2:52" x14ac:dyDescent="0.35">
      <c r="B828" s="7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10"/>
    </row>
    <row r="829" spans="2:52" x14ac:dyDescent="0.35">
      <c r="B829" s="7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10"/>
    </row>
    <row r="830" spans="2:52" x14ac:dyDescent="0.35">
      <c r="B830" s="7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10"/>
    </row>
    <row r="831" spans="2:52" x14ac:dyDescent="0.35">
      <c r="B831" s="7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10"/>
    </row>
    <row r="832" spans="2:52" x14ac:dyDescent="0.35">
      <c r="B832" s="7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10"/>
    </row>
    <row r="833" spans="2:52" x14ac:dyDescent="0.35">
      <c r="B833" s="7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10"/>
    </row>
    <row r="834" spans="2:52" x14ac:dyDescent="0.35">
      <c r="B834" s="7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10"/>
    </row>
    <row r="835" spans="2:52" x14ac:dyDescent="0.35">
      <c r="B835" s="7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10"/>
    </row>
    <row r="836" spans="2:52" x14ac:dyDescent="0.35">
      <c r="B836" s="7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10"/>
    </row>
    <row r="837" spans="2:52" x14ac:dyDescent="0.35">
      <c r="B837" s="7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10"/>
    </row>
    <row r="838" spans="2:52" x14ac:dyDescent="0.35">
      <c r="B838" s="7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10"/>
    </row>
    <row r="839" spans="2:52" x14ac:dyDescent="0.35">
      <c r="B839" s="7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10"/>
    </row>
    <row r="840" spans="2:52" x14ac:dyDescent="0.35">
      <c r="B840" s="7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10"/>
    </row>
    <row r="841" spans="2:52" x14ac:dyDescent="0.35">
      <c r="B841" s="7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10"/>
    </row>
    <row r="842" spans="2:52" x14ac:dyDescent="0.35">
      <c r="B842" s="7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10"/>
    </row>
    <row r="843" spans="2:52" x14ac:dyDescent="0.35">
      <c r="B843" s="7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10"/>
    </row>
    <row r="844" spans="2:52" x14ac:dyDescent="0.35">
      <c r="B844" s="7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10"/>
    </row>
    <row r="845" spans="2:52" x14ac:dyDescent="0.35">
      <c r="B845" s="7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10"/>
    </row>
    <row r="846" spans="2:52" x14ac:dyDescent="0.35">
      <c r="B846" s="7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10"/>
    </row>
    <row r="847" spans="2:52" x14ac:dyDescent="0.35">
      <c r="B847" s="7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10"/>
    </row>
    <row r="848" spans="2:52" x14ac:dyDescent="0.35">
      <c r="B848" s="7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10"/>
    </row>
    <row r="849" spans="2:52" x14ac:dyDescent="0.35">
      <c r="B849" s="7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10"/>
    </row>
    <row r="850" spans="2:52" x14ac:dyDescent="0.35">
      <c r="B850" s="7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10"/>
    </row>
    <row r="851" spans="2:52" x14ac:dyDescent="0.35">
      <c r="B851" s="7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10"/>
    </row>
    <row r="852" spans="2:52" x14ac:dyDescent="0.35">
      <c r="B852" s="7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10"/>
    </row>
    <row r="853" spans="2:52" x14ac:dyDescent="0.35">
      <c r="B853" s="7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10"/>
    </row>
    <row r="854" spans="2:52" x14ac:dyDescent="0.35">
      <c r="B854" s="7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10"/>
    </row>
    <row r="855" spans="2:52" x14ac:dyDescent="0.35">
      <c r="B855" s="7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10"/>
    </row>
    <row r="856" spans="2:52" x14ac:dyDescent="0.35">
      <c r="B856" s="7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10"/>
    </row>
    <row r="857" spans="2:52" x14ac:dyDescent="0.35">
      <c r="B857" s="7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10"/>
    </row>
    <row r="858" spans="2:52" x14ac:dyDescent="0.35">
      <c r="B858" s="7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10"/>
    </row>
    <row r="859" spans="2:52" x14ac:dyDescent="0.35">
      <c r="B859" s="7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10"/>
    </row>
    <row r="860" spans="2:52" x14ac:dyDescent="0.35">
      <c r="B860" s="7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10"/>
    </row>
    <row r="861" spans="2:52" x14ac:dyDescent="0.35">
      <c r="B861" s="7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10"/>
    </row>
    <row r="862" spans="2:52" x14ac:dyDescent="0.35">
      <c r="B862" s="7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10"/>
    </row>
    <row r="863" spans="2:52" x14ac:dyDescent="0.35">
      <c r="B863" s="7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10"/>
    </row>
    <row r="864" spans="2:52" x14ac:dyDescent="0.35">
      <c r="B864" s="7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10"/>
    </row>
    <row r="865" spans="2:52" x14ac:dyDescent="0.35">
      <c r="B865" s="7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10"/>
    </row>
    <row r="866" spans="2:52" x14ac:dyDescent="0.35">
      <c r="B866" s="7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10"/>
    </row>
    <row r="867" spans="2:52" x14ac:dyDescent="0.35">
      <c r="B867" s="7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10"/>
    </row>
    <row r="868" spans="2:52" x14ac:dyDescent="0.35">
      <c r="B868" s="7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10"/>
    </row>
    <row r="869" spans="2:52" x14ac:dyDescent="0.35">
      <c r="B869" s="7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10"/>
    </row>
    <row r="870" spans="2:52" x14ac:dyDescent="0.35">
      <c r="B870" s="7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10"/>
    </row>
    <row r="871" spans="2:52" x14ac:dyDescent="0.35">
      <c r="B871" s="7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10"/>
    </row>
    <row r="872" spans="2:52" x14ac:dyDescent="0.35">
      <c r="B872" s="7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10"/>
    </row>
    <row r="873" spans="2:52" x14ac:dyDescent="0.35">
      <c r="B873" s="7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10"/>
    </row>
    <row r="874" spans="2:52" x14ac:dyDescent="0.35">
      <c r="B874" s="7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10"/>
    </row>
    <row r="875" spans="2:52" x14ac:dyDescent="0.35">
      <c r="B875" s="7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10"/>
    </row>
    <row r="876" spans="2:52" x14ac:dyDescent="0.35">
      <c r="B876" s="7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10"/>
    </row>
    <row r="877" spans="2:52" x14ac:dyDescent="0.35">
      <c r="B877" s="7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10"/>
    </row>
    <row r="878" spans="2:52" x14ac:dyDescent="0.35">
      <c r="B878" s="7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10"/>
    </row>
    <row r="879" spans="2:52" x14ac:dyDescent="0.35">
      <c r="B879" s="7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10"/>
    </row>
    <row r="880" spans="2:52" x14ac:dyDescent="0.35">
      <c r="B880" s="7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10"/>
    </row>
    <row r="881" spans="2:52" x14ac:dyDescent="0.35">
      <c r="B881" s="7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10"/>
    </row>
    <row r="882" spans="2:52" x14ac:dyDescent="0.35">
      <c r="B882" s="7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10"/>
    </row>
    <row r="883" spans="2:52" x14ac:dyDescent="0.35">
      <c r="B883" s="7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10"/>
    </row>
    <row r="884" spans="2:52" x14ac:dyDescent="0.35">
      <c r="B884" s="7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10"/>
    </row>
    <row r="885" spans="2:52" x14ac:dyDescent="0.35">
      <c r="B885" s="7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10"/>
    </row>
    <row r="886" spans="2:52" x14ac:dyDescent="0.35">
      <c r="B886" s="7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10"/>
    </row>
    <row r="887" spans="2:52" x14ac:dyDescent="0.35">
      <c r="B887" s="7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10"/>
    </row>
    <row r="888" spans="2:52" x14ac:dyDescent="0.35">
      <c r="B888" s="7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10"/>
    </row>
    <row r="889" spans="2:52" x14ac:dyDescent="0.35">
      <c r="B889" s="7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10"/>
    </row>
    <row r="890" spans="2:52" x14ac:dyDescent="0.35">
      <c r="B890" s="7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10"/>
    </row>
    <row r="891" spans="2:52" x14ac:dyDescent="0.35">
      <c r="B891" s="7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10"/>
    </row>
    <row r="892" spans="2:52" x14ac:dyDescent="0.35">
      <c r="B892" s="7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10"/>
    </row>
    <row r="893" spans="2:52" x14ac:dyDescent="0.35">
      <c r="B893" s="7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10"/>
    </row>
    <row r="894" spans="2:52" x14ac:dyDescent="0.35">
      <c r="B894" s="7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10"/>
    </row>
    <row r="895" spans="2:52" x14ac:dyDescent="0.35">
      <c r="B895" s="7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10"/>
    </row>
    <row r="896" spans="2:52" x14ac:dyDescent="0.35">
      <c r="B896" s="7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10"/>
    </row>
    <row r="897" spans="2:52" x14ac:dyDescent="0.35">
      <c r="B897" s="7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10"/>
    </row>
    <row r="898" spans="2:52" x14ac:dyDescent="0.35">
      <c r="B898" s="7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10"/>
    </row>
    <row r="899" spans="2:52" x14ac:dyDescent="0.35">
      <c r="B899" s="7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10"/>
    </row>
    <row r="900" spans="2:52" x14ac:dyDescent="0.35">
      <c r="B900" s="7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10"/>
    </row>
    <row r="901" spans="2:52" x14ac:dyDescent="0.35">
      <c r="B901" s="7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10"/>
    </row>
    <row r="902" spans="2:52" x14ac:dyDescent="0.35">
      <c r="B902" s="7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10"/>
    </row>
    <row r="903" spans="2:52" x14ac:dyDescent="0.35">
      <c r="B903" s="7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10"/>
    </row>
    <row r="904" spans="2:52" x14ac:dyDescent="0.35">
      <c r="B904" s="7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10"/>
    </row>
    <row r="905" spans="2:52" x14ac:dyDescent="0.35">
      <c r="B905" s="7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10"/>
    </row>
    <row r="906" spans="2:52" x14ac:dyDescent="0.35">
      <c r="B906" s="7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10"/>
    </row>
    <row r="907" spans="2:52" x14ac:dyDescent="0.35">
      <c r="B907" s="7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10"/>
    </row>
    <row r="908" spans="2:52" x14ac:dyDescent="0.35">
      <c r="B908" s="7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10"/>
    </row>
    <row r="909" spans="2:52" x14ac:dyDescent="0.35">
      <c r="B909" s="7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10"/>
    </row>
    <row r="910" spans="2:52" x14ac:dyDescent="0.35">
      <c r="B910" s="7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10"/>
    </row>
    <row r="911" spans="2:52" x14ac:dyDescent="0.35">
      <c r="B911" s="7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10"/>
    </row>
    <row r="912" spans="2:52" x14ac:dyDescent="0.35">
      <c r="B912" s="7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10"/>
    </row>
    <row r="913" spans="2:52" x14ac:dyDescent="0.35">
      <c r="B913" s="7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10"/>
    </row>
    <row r="914" spans="2:52" x14ac:dyDescent="0.35">
      <c r="B914" s="7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10"/>
    </row>
    <row r="915" spans="2:52" x14ac:dyDescent="0.35">
      <c r="B915" s="7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10"/>
    </row>
    <row r="916" spans="2:52" x14ac:dyDescent="0.35">
      <c r="B916" s="7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10"/>
    </row>
    <row r="917" spans="2:52" x14ac:dyDescent="0.35">
      <c r="B917" s="7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10"/>
    </row>
    <row r="918" spans="2:52" x14ac:dyDescent="0.35">
      <c r="B918" s="7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10"/>
    </row>
    <row r="919" spans="2:52" x14ac:dyDescent="0.35">
      <c r="B919" s="7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10"/>
    </row>
    <row r="920" spans="2:52" x14ac:dyDescent="0.35">
      <c r="B920" s="7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10"/>
    </row>
    <row r="921" spans="2:52" x14ac:dyDescent="0.35">
      <c r="B921" s="7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10"/>
    </row>
    <row r="922" spans="2:52" x14ac:dyDescent="0.35">
      <c r="B922" s="7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10"/>
    </row>
    <row r="923" spans="2:52" x14ac:dyDescent="0.35">
      <c r="B923" s="7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10"/>
    </row>
    <row r="924" spans="2:52" x14ac:dyDescent="0.35">
      <c r="B924" s="7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10"/>
    </row>
    <row r="925" spans="2:52" x14ac:dyDescent="0.35">
      <c r="B925" s="7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10"/>
    </row>
    <row r="926" spans="2:52" x14ac:dyDescent="0.35">
      <c r="B926" s="7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10"/>
    </row>
    <row r="927" spans="2:52" x14ac:dyDescent="0.35">
      <c r="B927" s="7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10"/>
    </row>
    <row r="928" spans="2:52" x14ac:dyDescent="0.35">
      <c r="B928" s="7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10"/>
    </row>
    <row r="929" spans="2:52" x14ac:dyDescent="0.35">
      <c r="B929" s="7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10"/>
    </row>
    <row r="930" spans="2:52" x14ac:dyDescent="0.35">
      <c r="B930" s="7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10"/>
    </row>
    <row r="931" spans="2:52" x14ac:dyDescent="0.35">
      <c r="B931" s="7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10"/>
    </row>
    <row r="932" spans="2:52" x14ac:dyDescent="0.35">
      <c r="B932" s="7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10"/>
    </row>
    <row r="933" spans="2:52" x14ac:dyDescent="0.35">
      <c r="B933" s="7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10"/>
    </row>
    <row r="934" spans="2:52" x14ac:dyDescent="0.35">
      <c r="B934" s="7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10"/>
    </row>
    <row r="935" spans="2:52" x14ac:dyDescent="0.35">
      <c r="B935" s="7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10"/>
    </row>
    <row r="936" spans="2:52" x14ac:dyDescent="0.35">
      <c r="B936" s="7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10"/>
    </row>
    <row r="937" spans="2:52" x14ac:dyDescent="0.35">
      <c r="B937" s="7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10"/>
    </row>
    <row r="938" spans="2:52" x14ac:dyDescent="0.35">
      <c r="B938" s="7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10"/>
    </row>
    <row r="939" spans="2:52" x14ac:dyDescent="0.35">
      <c r="B939" s="7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10"/>
    </row>
    <row r="940" spans="2:52" x14ac:dyDescent="0.35">
      <c r="B940" s="7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10"/>
    </row>
    <row r="941" spans="2:52" x14ac:dyDescent="0.35">
      <c r="B941" s="7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10"/>
    </row>
    <row r="942" spans="2:52" x14ac:dyDescent="0.35">
      <c r="B942" s="7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10"/>
    </row>
    <row r="943" spans="2:52" x14ac:dyDescent="0.35">
      <c r="B943" s="7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10"/>
    </row>
    <row r="944" spans="2:52" x14ac:dyDescent="0.35">
      <c r="B944" s="7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10"/>
    </row>
    <row r="945" spans="2:52" x14ac:dyDescent="0.35">
      <c r="B945" s="7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10"/>
    </row>
    <row r="946" spans="2:52" x14ac:dyDescent="0.35">
      <c r="B946" s="7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10"/>
    </row>
    <row r="947" spans="2:52" x14ac:dyDescent="0.35">
      <c r="B947" s="7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10"/>
    </row>
    <row r="948" spans="2:52" x14ac:dyDescent="0.35">
      <c r="B948" s="7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10"/>
    </row>
    <row r="949" spans="2:52" x14ac:dyDescent="0.35">
      <c r="B949" s="7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10"/>
    </row>
    <row r="950" spans="2:52" x14ac:dyDescent="0.35">
      <c r="B950" s="7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10"/>
    </row>
    <row r="951" spans="2:52" x14ac:dyDescent="0.35">
      <c r="B951" s="7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10"/>
    </row>
    <row r="952" spans="2:52" x14ac:dyDescent="0.35">
      <c r="B952" s="7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10"/>
    </row>
    <row r="953" spans="2:52" x14ac:dyDescent="0.35">
      <c r="B953" s="7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10"/>
    </row>
    <row r="954" spans="2:52" x14ac:dyDescent="0.35">
      <c r="B954" s="7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10"/>
    </row>
    <row r="955" spans="2:52" x14ac:dyDescent="0.35">
      <c r="B955" s="7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10"/>
    </row>
    <row r="956" spans="2:52" x14ac:dyDescent="0.35">
      <c r="B956" s="7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10"/>
    </row>
    <row r="957" spans="2:52" x14ac:dyDescent="0.35">
      <c r="B957" s="7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10"/>
    </row>
    <row r="958" spans="2:52" x14ac:dyDescent="0.35">
      <c r="B958" s="7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10"/>
    </row>
    <row r="959" spans="2:52" x14ac:dyDescent="0.35">
      <c r="B959" s="7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10"/>
    </row>
    <row r="960" spans="2:52" x14ac:dyDescent="0.35">
      <c r="B960" s="7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10"/>
    </row>
    <row r="961" spans="2:52" x14ac:dyDescent="0.35">
      <c r="B961" s="7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10"/>
    </row>
    <row r="962" spans="2:52" x14ac:dyDescent="0.35">
      <c r="B962" s="7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10"/>
    </row>
    <row r="963" spans="2:52" x14ac:dyDescent="0.35">
      <c r="B963" s="7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10"/>
    </row>
    <row r="964" spans="2:52" x14ac:dyDescent="0.35">
      <c r="B964" s="7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10"/>
    </row>
    <row r="965" spans="2:52" x14ac:dyDescent="0.35">
      <c r="B965" s="7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10"/>
    </row>
    <row r="966" spans="2:52" x14ac:dyDescent="0.35">
      <c r="B966" s="7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10"/>
    </row>
    <row r="967" spans="2:52" x14ac:dyDescent="0.35">
      <c r="B967" s="7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10"/>
    </row>
    <row r="968" spans="2:52" x14ac:dyDescent="0.35">
      <c r="B968" s="7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10"/>
    </row>
    <row r="969" spans="2:52" x14ac:dyDescent="0.35">
      <c r="B969" s="7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10"/>
    </row>
    <row r="970" spans="2:52" x14ac:dyDescent="0.35">
      <c r="B970" s="7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10"/>
    </row>
    <row r="971" spans="2:52" x14ac:dyDescent="0.35">
      <c r="B971" s="7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10"/>
    </row>
    <row r="972" spans="2:52" x14ac:dyDescent="0.35">
      <c r="B972" s="7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10"/>
    </row>
    <row r="973" spans="2:52" x14ac:dyDescent="0.35">
      <c r="B973" s="7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10"/>
    </row>
    <row r="974" spans="2:52" x14ac:dyDescent="0.35">
      <c r="B974" s="7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10"/>
    </row>
    <row r="975" spans="2:52" x14ac:dyDescent="0.35">
      <c r="B975" s="7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10"/>
    </row>
    <row r="976" spans="2:52" x14ac:dyDescent="0.35">
      <c r="B976" s="7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10"/>
    </row>
    <row r="977" spans="2:52" x14ac:dyDescent="0.35">
      <c r="B977" s="7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10"/>
    </row>
    <row r="978" spans="2:52" x14ac:dyDescent="0.35">
      <c r="B978" s="7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10"/>
    </row>
    <row r="979" spans="2:52" x14ac:dyDescent="0.35">
      <c r="B979" s="7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10"/>
    </row>
    <row r="980" spans="2:52" x14ac:dyDescent="0.35">
      <c r="B980" s="7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10"/>
    </row>
    <row r="981" spans="2:52" x14ac:dyDescent="0.35">
      <c r="B981" s="7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10"/>
    </row>
    <row r="982" spans="2:52" x14ac:dyDescent="0.35">
      <c r="B982" s="7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10"/>
    </row>
    <row r="983" spans="2:52" x14ac:dyDescent="0.35">
      <c r="B983" s="7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10"/>
    </row>
    <row r="984" spans="2:52" x14ac:dyDescent="0.35">
      <c r="B984" s="7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10"/>
    </row>
    <row r="985" spans="2:52" x14ac:dyDescent="0.35">
      <c r="B985" s="7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10"/>
    </row>
    <row r="986" spans="2:52" x14ac:dyDescent="0.35">
      <c r="B986" s="7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10"/>
    </row>
    <row r="987" spans="2:52" x14ac:dyDescent="0.35">
      <c r="B987" s="7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10"/>
    </row>
    <row r="988" spans="2:52" x14ac:dyDescent="0.35">
      <c r="B988" s="7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10"/>
    </row>
    <row r="989" spans="2:52" x14ac:dyDescent="0.35">
      <c r="B989" s="7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10"/>
    </row>
    <row r="990" spans="2:52" x14ac:dyDescent="0.35">
      <c r="B990" s="7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10"/>
    </row>
    <row r="991" spans="2:52" x14ac:dyDescent="0.35">
      <c r="B991" s="7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10"/>
    </row>
    <row r="992" spans="2:52" x14ac:dyDescent="0.35">
      <c r="B992" s="7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10"/>
    </row>
    <row r="993" spans="2:52" x14ac:dyDescent="0.35">
      <c r="B993" s="7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10"/>
    </row>
    <row r="994" spans="2:52" x14ac:dyDescent="0.35">
      <c r="B994" s="7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10"/>
    </row>
    <row r="995" spans="2:52" x14ac:dyDescent="0.35">
      <c r="B995" s="7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10"/>
    </row>
    <row r="996" spans="2:52" x14ac:dyDescent="0.35">
      <c r="B996" s="7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10"/>
    </row>
    <row r="997" spans="2:52" x14ac:dyDescent="0.35">
      <c r="B997" s="7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10"/>
    </row>
    <row r="998" spans="2:52" x14ac:dyDescent="0.35">
      <c r="B998" s="7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10"/>
    </row>
    <row r="999" spans="2:52" x14ac:dyDescent="0.35">
      <c r="B999" s="7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10"/>
    </row>
    <row r="1000" spans="2:52" x14ac:dyDescent="0.35">
      <c r="B1000" s="7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10"/>
    </row>
    <row r="1001" spans="2:52" x14ac:dyDescent="0.35">
      <c r="B1001" s="7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10"/>
    </row>
    <row r="1002" spans="2:52" x14ac:dyDescent="0.35">
      <c r="B1002" s="7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10"/>
    </row>
    <row r="1003" spans="2:52" x14ac:dyDescent="0.35">
      <c r="B1003" s="7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10"/>
    </row>
    <row r="1004" spans="2:52" x14ac:dyDescent="0.35">
      <c r="B1004" s="7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10"/>
    </row>
    <row r="1005" spans="2:52" x14ac:dyDescent="0.35">
      <c r="B1005" s="7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10"/>
    </row>
    <row r="1006" spans="2:52" x14ac:dyDescent="0.35">
      <c r="B1006" s="7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10"/>
    </row>
    <row r="1007" spans="2:52" x14ac:dyDescent="0.35">
      <c r="B1007" s="7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10"/>
    </row>
    <row r="1008" spans="2:52" x14ac:dyDescent="0.35">
      <c r="B1008" s="7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10"/>
    </row>
    <row r="1009" spans="2:52" x14ac:dyDescent="0.35">
      <c r="B1009" s="7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10"/>
    </row>
    <row r="1010" spans="2:52" x14ac:dyDescent="0.35">
      <c r="B1010" s="7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10"/>
    </row>
    <row r="1011" spans="2:52" x14ac:dyDescent="0.35">
      <c r="B1011" s="7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10"/>
    </row>
    <row r="1012" spans="2:52" x14ac:dyDescent="0.35">
      <c r="B1012" s="7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10"/>
    </row>
    <row r="1013" spans="2:52" x14ac:dyDescent="0.35">
      <c r="B1013" s="7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10"/>
    </row>
    <row r="1014" spans="2:52" x14ac:dyDescent="0.35">
      <c r="B1014" s="7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10"/>
    </row>
    <row r="1015" spans="2:52" x14ac:dyDescent="0.35">
      <c r="B1015" s="7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10"/>
    </row>
    <row r="1016" spans="2:52" x14ac:dyDescent="0.35">
      <c r="B1016" s="7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10"/>
    </row>
    <row r="1017" spans="2:52" x14ac:dyDescent="0.35">
      <c r="B1017" s="7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10"/>
    </row>
    <row r="1018" spans="2:52" x14ac:dyDescent="0.35">
      <c r="B1018" s="7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10"/>
    </row>
    <row r="1019" spans="2:52" x14ac:dyDescent="0.35">
      <c r="B1019" s="7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10"/>
    </row>
    <row r="1020" spans="2:52" x14ac:dyDescent="0.35">
      <c r="B1020" s="7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10"/>
    </row>
    <row r="1021" spans="2:52" x14ac:dyDescent="0.35">
      <c r="B1021" s="7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10"/>
    </row>
    <row r="1022" spans="2:52" x14ac:dyDescent="0.35">
      <c r="B1022" s="7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10"/>
    </row>
    <row r="1023" spans="2:52" x14ac:dyDescent="0.35">
      <c r="B1023" s="7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10"/>
    </row>
    <row r="1024" spans="2:52" x14ac:dyDescent="0.35">
      <c r="B1024" s="7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10"/>
    </row>
    <row r="1025" spans="2:52" x14ac:dyDescent="0.35">
      <c r="B1025" s="7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10"/>
    </row>
    <row r="1026" spans="2:52" x14ac:dyDescent="0.35">
      <c r="B1026" s="7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10"/>
    </row>
    <row r="1027" spans="2:52" x14ac:dyDescent="0.35">
      <c r="B1027" s="7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10"/>
    </row>
    <row r="1028" spans="2:52" x14ac:dyDescent="0.35">
      <c r="B1028" s="7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10"/>
    </row>
    <row r="1029" spans="2:52" x14ac:dyDescent="0.35">
      <c r="B1029" s="7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10"/>
    </row>
    <row r="1030" spans="2:52" x14ac:dyDescent="0.35">
      <c r="B1030" s="7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10"/>
    </row>
    <row r="1031" spans="2:52" x14ac:dyDescent="0.35">
      <c r="B1031" s="7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10"/>
    </row>
    <row r="1032" spans="2:52" x14ac:dyDescent="0.35">
      <c r="B1032" s="7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10"/>
    </row>
    <row r="1033" spans="2:52" x14ac:dyDescent="0.35">
      <c r="B1033" s="7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10"/>
    </row>
    <row r="1034" spans="2:52" x14ac:dyDescent="0.35">
      <c r="B1034" s="7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10"/>
    </row>
    <row r="1035" spans="2:52" x14ac:dyDescent="0.35">
      <c r="B1035" s="7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10"/>
    </row>
    <row r="1036" spans="2:52" x14ac:dyDescent="0.35">
      <c r="B1036" s="7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10"/>
    </row>
    <row r="1037" spans="2:52" x14ac:dyDescent="0.35">
      <c r="B1037" s="7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10"/>
    </row>
    <row r="1038" spans="2:52" x14ac:dyDescent="0.35">
      <c r="B1038" s="7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10"/>
    </row>
    <row r="1039" spans="2:52" x14ac:dyDescent="0.35">
      <c r="B1039" s="7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10"/>
    </row>
    <row r="1040" spans="2:52" x14ac:dyDescent="0.35">
      <c r="B1040" s="7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10"/>
    </row>
    <row r="1041" spans="2:52" x14ac:dyDescent="0.35">
      <c r="B1041" s="7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10"/>
    </row>
    <row r="1042" spans="2:52" x14ac:dyDescent="0.35">
      <c r="B1042" s="7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10"/>
    </row>
    <row r="1043" spans="2:52" x14ac:dyDescent="0.35">
      <c r="B1043" s="7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10"/>
    </row>
    <row r="1044" spans="2:52" x14ac:dyDescent="0.35">
      <c r="B1044" s="7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10"/>
    </row>
    <row r="1045" spans="2:52" x14ac:dyDescent="0.35">
      <c r="B1045" s="7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10"/>
    </row>
    <row r="1046" spans="2:52" x14ac:dyDescent="0.35">
      <c r="B1046" s="7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10"/>
    </row>
    <row r="1047" spans="2:52" x14ac:dyDescent="0.35">
      <c r="B1047" s="7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10"/>
    </row>
    <row r="1048" spans="2:52" x14ac:dyDescent="0.35">
      <c r="B1048" s="7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10"/>
    </row>
    <row r="1049" spans="2:52" x14ac:dyDescent="0.35">
      <c r="B1049" s="7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10"/>
    </row>
    <row r="1050" spans="2:52" x14ac:dyDescent="0.35"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10"/>
    </row>
    <row r="1051" spans="2:52" x14ac:dyDescent="0.35">
      <c r="B1051" s="7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10"/>
    </row>
    <row r="1052" spans="2:52" x14ac:dyDescent="0.35">
      <c r="B1052" s="7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10"/>
    </row>
    <row r="1053" spans="2:52" x14ac:dyDescent="0.35">
      <c r="B1053" s="7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10"/>
    </row>
    <row r="1054" spans="2:52" x14ac:dyDescent="0.35">
      <c r="B1054" s="7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10"/>
    </row>
    <row r="1055" spans="2:52" x14ac:dyDescent="0.35">
      <c r="B1055" s="7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10"/>
    </row>
    <row r="1056" spans="2:52" x14ac:dyDescent="0.35">
      <c r="B1056" s="7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10"/>
    </row>
    <row r="1057" spans="2:52" x14ac:dyDescent="0.35">
      <c r="B1057" s="7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10"/>
    </row>
    <row r="1058" spans="2:52" x14ac:dyDescent="0.35">
      <c r="B1058" s="7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10"/>
    </row>
    <row r="1059" spans="2:52" x14ac:dyDescent="0.35">
      <c r="B1059" s="7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10"/>
    </row>
    <row r="1060" spans="2:52" x14ac:dyDescent="0.35">
      <c r="B1060" s="7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10"/>
    </row>
    <row r="1061" spans="2:52" x14ac:dyDescent="0.35">
      <c r="B1061" s="7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10"/>
    </row>
    <row r="1062" spans="2:52" x14ac:dyDescent="0.35">
      <c r="B1062" s="7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10"/>
    </row>
    <row r="1063" spans="2:52" x14ac:dyDescent="0.35">
      <c r="B1063" s="7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10"/>
    </row>
    <row r="1064" spans="2:52" x14ac:dyDescent="0.35">
      <c r="B1064" s="7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10"/>
    </row>
    <row r="1065" spans="2:52" x14ac:dyDescent="0.35">
      <c r="B1065" s="7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10"/>
    </row>
    <row r="1066" spans="2:52" x14ac:dyDescent="0.35">
      <c r="B1066" s="7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10"/>
    </row>
    <row r="1067" spans="2:52" x14ac:dyDescent="0.35">
      <c r="B1067" s="7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10"/>
    </row>
    <row r="1068" spans="2:52" x14ac:dyDescent="0.35">
      <c r="B1068" s="7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10"/>
    </row>
    <row r="1069" spans="2:52" x14ac:dyDescent="0.35">
      <c r="B1069" s="7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10"/>
    </row>
    <row r="1070" spans="2:52" x14ac:dyDescent="0.35">
      <c r="B1070" s="7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10"/>
    </row>
    <row r="1071" spans="2:52" x14ac:dyDescent="0.35">
      <c r="B1071" s="7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10"/>
    </row>
    <row r="1072" spans="2:52" x14ac:dyDescent="0.35">
      <c r="B1072" s="7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10"/>
    </row>
    <row r="1073" spans="2:52" x14ac:dyDescent="0.35">
      <c r="B1073" s="7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10"/>
    </row>
    <row r="1074" spans="2:52" x14ac:dyDescent="0.35">
      <c r="B1074" s="7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10"/>
    </row>
    <row r="1075" spans="2:52" x14ac:dyDescent="0.35">
      <c r="B1075" s="7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10"/>
    </row>
    <row r="1076" spans="2:52" x14ac:dyDescent="0.35">
      <c r="B1076" s="7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10"/>
    </row>
    <row r="1077" spans="2:52" x14ac:dyDescent="0.35">
      <c r="B1077" s="7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10"/>
    </row>
    <row r="1078" spans="2:52" x14ac:dyDescent="0.35">
      <c r="B1078" s="7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10"/>
    </row>
    <row r="1079" spans="2:52" x14ac:dyDescent="0.35">
      <c r="B1079" s="7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10"/>
    </row>
    <row r="1080" spans="2:52" x14ac:dyDescent="0.35">
      <c r="B1080" s="7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10"/>
    </row>
    <row r="1081" spans="2:52" x14ac:dyDescent="0.35">
      <c r="B1081" s="7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10"/>
    </row>
    <row r="1082" spans="2:52" x14ac:dyDescent="0.35">
      <c r="B1082" s="7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10"/>
    </row>
    <row r="1083" spans="2:52" x14ac:dyDescent="0.35">
      <c r="B1083" s="7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10"/>
    </row>
    <row r="1084" spans="2:52" x14ac:dyDescent="0.35">
      <c r="B1084" s="7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10"/>
    </row>
    <row r="1085" spans="2:52" x14ac:dyDescent="0.35">
      <c r="B1085" s="7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10"/>
    </row>
    <row r="1086" spans="2:52" x14ac:dyDescent="0.35">
      <c r="B1086" s="7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10"/>
    </row>
    <row r="1087" spans="2:52" x14ac:dyDescent="0.35">
      <c r="B1087" s="7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10"/>
    </row>
    <row r="1088" spans="2:52" x14ac:dyDescent="0.35">
      <c r="B1088" s="7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10"/>
    </row>
    <row r="1089" spans="2:52" x14ac:dyDescent="0.35">
      <c r="B1089" s="7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10"/>
    </row>
    <row r="1090" spans="2:52" x14ac:dyDescent="0.35">
      <c r="B1090" s="7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10"/>
    </row>
    <row r="1091" spans="2:52" x14ac:dyDescent="0.35">
      <c r="B1091" s="7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10"/>
    </row>
    <row r="1092" spans="2:52" x14ac:dyDescent="0.35">
      <c r="B1092" s="7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10"/>
    </row>
    <row r="1093" spans="2:52" x14ac:dyDescent="0.35">
      <c r="B1093" s="7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10"/>
    </row>
    <row r="1094" spans="2:52" x14ac:dyDescent="0.35">
      <c r="B1094" s="7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10"/>
    </row>
    <row r="1095" spans="2:52" x14ac:dyDescent="0.35">
      <c r="B1095" s="7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10"/>
    </row>
    <row r="1096" spans="2:52" x14ac:dyDescent="0.35">
      <c r="B1096" s="7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10"/>
    </row>
    <row r="1097" spans="2:52" x14ac:dyDescent="0.35">
      <c r="B1097" s="7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10"/>
    </row>
    <row r="1098" spans="2:52" x14ac:dyDescent="0.35">
      <c r="B1098" s="7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10"/>
    </row>
    <row r="1099" spans="2:52" x14ac:dyDescent="0.35">
      <c r="B1099" s="7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10"/>
    </row>
    <row r="1100" spans="2:52" x14ac:dyDescent="0.35">
      <c r="B1100" s="7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10"/>
    </row>
    <row r="1101" spans="2:52" x14ac:dyDescent="0.35">
      <c r="B1101" s="7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10"/>
    </row>
    <row r="1102" spans="2:52" x14ac:dyDescent="0.35">
      <c r="B1102" s="7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10"/>
    </row>
    <row r="1103" spans="2:52" x14ac:dyDescent="0.35">
      <c r="B1103" s="7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10"/>
    </row>
    <row r="1104" spans="2:52" x14ac:dyDescent="0.35">
      <c r="B1104" s="7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10"/>
    </row>
    <row r="1105" spans="2:52" x14ac:dyDescent="0.35">
      <c r="B1105" s="7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10"/>
    </row>
    <row r="1106" spans="2:52" x14ac:dyDescent="0.35">
      <c r="B1106" s="7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10"/>
    </row>
    <row r="1107" spans="2:52" x14ac:dyDescent="0.35">
      <c r="B1107" s="7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10"/>
    </row>
    <row r="1108" spans="2:52" x14ac:dyDescent="0.35">
      <c r="B1108" s="7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10"/>
    </row>
    <row r="1109" spans="2:52" x14ac:dyDescent="0.35">
      <c r="B1109" s="7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10"/>
    </row>
    <row r="1110" spans="2:52" x14ac:dyDescent="0.35">
      <c r="B1110" s="7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10"/>
    </row>
    <row r="1111" spans="2:52" x14ac:dyDescent="0.35">
      <c r="B1111" s="7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10"/>
    </row>
    <row r="1112" spans="2:52" x14ac:dyDescent="0.35">
      <c r="B1112" s="7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10"/>
    </row>
    <row r="1113" spans="2:52" x14ac:dyDescent="0.35">
      <c r="B1113" s="7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10"/>
    </row>
    <row r="1114" spans="2:52" x14ac:dyDescent="0.35">
      <c r="B1114" s="7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10"/>
    </row>
    <row r="1115" spans="2:52" x14ac:dyDescent="0.35">
      <c r="B1115" s="7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10"/>
    </row>
    <row r="1116" spans="2:52" x14ac:dyDescent="0.35">
      <c r="B1116" s="7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10"/>
    </row>
    <row r="1117" spans="2:52" x14ac:dyDescent="0.35">
      <c r="B1117" s="7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10"/>
    </row>
    <row r="1118" spans="2:52" x14ac:dyDescent="0.35">
      <c r="B1118" s="7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10"/>
    </row>
    <row r="1119" spans="2:52" x14ac:dyDescent="0.35">
      <c r="B1119" s="7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10"/>
    </row>
    <row r="1120" spans="2:52" x14ac:dyDescent="0.35">
      <c r="B1120" s="7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10"/>
    </row>
    <row r="1121" spans="2:52" x14ac:dyDescent="0.35">
      <c r="B1121" s="7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10"/>
    </row>
    <row r="1122" spans="2:52" x14ac:dyDescent="0.35">
      <c r="B1122" s="7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10"/>
    </row>
    <row r="1123" spans="2:52" x14ac:dyDescent="0.35">
      <c r="B1123" s="7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10"/>
    </row>
    <row r="1124" spans="2:52" x14ac:dyDescent="0.35">
      <c r="B1124" s="7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10"/>
    </row>
    <row r="1125" spans="2:52" x14ac:dyDescent="0.35">
      <c r="B1125" s="7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10"/>
    </row>
    <row r="1126" spans="2:52" x14ac:dyDescent="0.35">
      <c r="B1126" s="7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10"/>
    </row>
    <row r="1127" spans="2:52" x14ac:dyDescent="0.35">
      <c r="B1127" s="7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10"/>
    </row>
    <row r="1128" spans="2:52" x14ac:dyDescent="0.35">
      <c r="B1128" s="7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10"/>
    </row>
    <row r="1129" spans="2:52" x14ac:dyDescent="0.35">
      <c r="B1129" s="7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10"/>
    </row>
    <row r="1130" spans="2:52" x14ac:dyDescent="0.35">
      <c r="B1130" s="7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10"/>
    </row>
    <row r="1131" spans="2:52" x14ac:dyDescent="0.35">
      <c r="B1131" s="7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10"/>
    </row>
    <row r="1132" spans="2:52" x14ac:dyDescent="0.35">
      <c r="B1132" s="7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10"/>
    </row>
    <row r="1133" spans="2:52" x14ac:dyDescent="0.35">
      <c r="B1133" s="7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10"/>
    </row>
    <row r="1134" spans="2:52" x14ac:dyDescent="0.35">
      <c r="B1134" s="7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10"/>
    </row>
    <row r="1135" spans="2:52" x14ac:dyDescent="0.35">
      <c r="B1135" s="7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10"/>
    </row>
    <row r="1136" spans="2:52" x14ac:dyDescent="0.35">
      <c r="B1136" s="7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10"/>
    </row>
    <row r="1137" spans="2:52" x14ac:dyDescent="0.35">
      <c r="B1137" s="7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10"/>
    </row>
    <row r="1138" spans="2:52" x14ac:dyDescent="0.35">
      <c r="B1138" s="7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10"/>
    </row>
    <row r="1139" spans="2:52" x14ac:dyDescent="0.35">
      <c r="B1139" s="7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10"/>
    </row>
    <row r="1140" spans="2:52" x14ac:dyDescent="0.35">
      <c r="B1140" s="7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10"/>
    </row>
    <row r="1141" spans="2:52" x14ac:dyDescent="0.35">
      <c r="B1141" s="7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10"/>
    </row>
    <row r="1142" spans="2:52" x14ac:dyDescent="0.35">
      <c r="B1142" s="7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10"/>
    </row>
    <row r="1143" spans="2:52" x14ac:dyDescent="0.35">
      <c r="B1143" s="7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10"/>
    </row>
    <row r="1144" spans="2:52" x14ac:dyDescent="0.35">
      <c r="B1144" s="7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10"/>
    </row>
    <row r="1145" spans="2:52" x14ac:dyDescent="0.35">
      <c r="B1145" s="7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10"/>
    </row>
    <row r="1146" spans="2:52" x14ac:dyDescent="0.35">
      <c r="B1146" s="7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10"/>
    </row>
    <row r="1147" spans="2:52" x14ac:dyDescent="0.35">
      <c r="B1147" s="7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10"/>
    </row>
    <row r="1148" spans="2:52" x14ac:dyDescent="0.35">
      <c r="B1148" s="7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10"/>
    </row>
    <row r="1149" spans="2:52" x14ac:dyDescent="0.35">
      <c r="B1149" s="7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10"/>
    </row>
    <row r="1150" spans="2:52" x14ac:dyDescent="0.35">
      <c r="B1150" s="7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10"/>
    </row>
    <row r="1151" spans="2:52" x14ac:dyDescent="0.35">
      <c r="B1151" s="7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10"/>
    </row>
    <row r="1152" spans="2:52" x14ac:dyDescent="0.35">
      <c r="B1152" s="7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10"/>
    </row>
    <row r="1153" spans="2:52" x14ac:dyDescent="0.35">
      <c r="B1153" s="7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10"/>
    </row>
    <row r="1154" spans="2:52" x14ac:dyDescent="0.35">
      <c r="B1154" s="7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10"/>
    </row>
    <row r="1155" spans="2:52" x14ac:dyDescent="0.35">
      <c r="B1155" s="7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10"/>
    </row>
    <row r="1156" spans="2:52" x14ac:dyDescent="0.35">
      <c r="B1156" s="7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10"/>
    </row>
    <row r="1157" spans="2:52" x14ac:dyDescent="0.35">
      <c r="B1157" s="7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10"/>
    </row>
    <row r="1158" spans="2:52" x14ac:dyDescent="0.35">
      <c r="B1158" s="7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10"/>
    </row>
    <row r="1159" spans="2:52" x14ac:dyDescent="0.35">
      <c r="B1159" s="7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10"/>
    </row>
    <row r="1160" spans="2:52" x14ac:dyDescent="0.35">
      <c r="B1160" s="7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10"/>
    </row>
    <row r="1161" spans="2:52" x14ac:dyDescent="0.35">
      <c r="B1161" s="7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10"/>
    </row>
    <row r="1162" spans="2:52" x14ac:dyDescent="0.35">
      <c r="B1162" s="7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10"/>
    </row>
    <row r="1163" spans="2:52" x14ac:dyDescent="0.35">
      <c r="B1163" s="7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10"/>
    </row>
    <row r="1164" spans="2:52" x14ac:dyDescent="0.35">
      <c r="B1164" s="7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10"/>
    </row>
    <row r="1165" spans="2:52" x14ac:dyDescent="0.35">
      <c r="B1165" s="7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10"/>
    </row>
    <row r="1166" spans="2:52" x14ac:dyDescent="0.35">
      <c r="B1166" s="7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10"/>
    </row>
    <row r="1167" spans="2:52" x14ac:dyDescent="0.35">
      <c r="B1167" s="7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10"/>
    </row>
    <row r="1168" spans="2:52" x14ac:dyDescent="0.35">
      <c r="B1168" s="7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10"/>
    </row>
    <row r="1169" spans="2:52" x14ac:dyDescent="0.35">
      <c r="B1169" s="7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10"/>
    </row>
    <row r="1170" spans="2:52" x14ac:dyDescent="0.35">
      <c r="B1170" s="7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10"/>
    </row>
    <row r="1171" spans="2:52" x14ac:dyDescent="0.35">
      <c r="B1171" s="7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10"/>
    </row>
    <row r="1172" spans="2:52" x14ac:dyDescent="0.35">
      <c r="B1172" s="7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10"/>
    </row>
    <row r="1173" spans="2:52" x14ac:dyDescent="0.35">
      <c r="B1173" s="7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10"/>
    </row>
    <row r="1174" spans="2:52" x14ac:dyDescent="0.35">
      <c r="B1174" s="7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10"/>
    </row>
    <row r="1175" spans="2:52" x14ac:dyDescent="0.35">
      <c r="B1175" s="7"/>
      <c r="C1175" s="8"/>
      <c r="D1175" s="8"/>
      <c r="E1175" s="8"/>
      <c r="F1175" s="8"/>
      <c r="G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  <c r="AQ1175" s="8"/>
      <c r="AR1175" s="8"/>
      <c r="AS1175" s="8"/>
      <c r="AT1175" s="8"/>
      <c r="AU1175" s="8"/>
      <c r="AV1175" s="8"/>
      <c r="AW1175" s="8"/>
      <c r="AX1175" s="8"/>
      <c r="AY1175" s="8"/>
      <c r="AZ1175" s="10"/>
    </row>
    <row r="1176" spans="2:52" x14ac:dyDescent="0.35">
      <c r="B1176" s="7"/>
      <c r="C1176" s="8"/>
      <c r="D1176" s="8"/>
      <c r="E1176" s="8"/>
      <c r="F1176" s="8"/>
      <c r="G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  <c r="AQ1176" s="8"/>
      <c r="AR1176" s="8"/>
      <c r="AS1176" s="8"/>
      <c r="AT1176" s="8"/>
      <c r="AU1176" s="8"/>
      <c r="AV1176" s="8"/>
      <c r="AW1176" s="8"/>
      <c r="AX1176" s="8"/>
      <c r="AY1176" s="8"/>
      <c r="AZ1176" s="10"/>
    </row>
    <row r="1177" spans="2:52" x14ac:dyDescent="0.35">
      <c r="B1177" s="7"/>
      <c r="C1177" s="8"/>
      <c r="D1177" s="8"/>
      <c r="E1177" s="8"/>
      <c r="F1177" s="8"/>
      <c r="G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  <c r="AQ1177" s="8"/>
      <c r="AR1177" s="8"/>
      <c r="AS1177" s="8"/>
      <c r="AT1177" s="8"/>
      <c r="AU1177" s="8"/>
      <c r="AV1177" s="8"/>
      <c r="AW1177" s="8"/>
      <c r="AX1177" s="8"/>
      <c r="AY1177" s="8"/>
      <c r="AZ1177" s="10"/>
    </row>
    <row r="1178" spans="2:52" x14ac:dyDescent="0.35">
      <c r="B1178" s="7"/>
      <c r="C1178" s="8"/>
      <c r="D1178" s="8"/>
      <c r="E1178" s="8"/>
      <c r="F1178" s="8"/>
      <c r="G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  <c r="AQ1178" s="8"/>
      <c r="AR1178" s="8"/>
      <c r="AS1178" s="8"/>
      <c r="AT1178" s="8"/>
      <c r="AU1178" s="8"/>
      <c r="AV1178" s="8"/>
      <c r="AW1178" s="8"/>
      <c r="AX1178" s="8"/>
      <c r="AY1178" s="8"/>
      <c r="AZ1178" s="10"/>
    </row>
    <row r="1179" spans="2:52" x14ac:dyDescent="0.35">
      <c r="B1179" s="7"/>
      <c r="C1179" s="8"/>
      <c r="D1179" s="8"/>
      <c r="E1179" s="8"/>
      <c r="F1179" s="8"/>
      <c r="G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  <c r="AQ1179" s="8"/>
      <c r="AR1179" s="8"/>
      <c r="AS1179" s="8"/>
      <c r="AT1179" s="8"/>
      <c r="AU1179" s="8"/>
      <c r="AV1179" s="8"/>
      <c r="AW1179" s="8"/>
      <c r="AX1179" s="8"/>
      <c r="AY1179" s="8"/>
      <c r="AZ1179" s="10"/>
    </row>
    <row r="1180" spans="2:52" x14ac:dyDescent="0.35">
      <c r="B1180" s="7"/>
      <c r="C1180" s="8"/>
      <c r="D1180" s="8"/>
      <c r="E1180" s="8"/>
      <c r="F1180" s="8"/>
      <c r="G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  <c r="AQ1180" s="8"/>
      <c r="AR1180" s="8"/>
      <c r="AS1180" s="8"/>
      <c r="AT1180" s="8"/>
      <c r="AU1180" s="8"/>
      <c r="AV1180" s="8"/>
      <c r="AW1180" s="8"/>
      <c r="AX1180" s="8"/>
      <c r="AY1180" s="8"/>
      <c r="AZ1180" s="10"/>
    </row>
    <row r="1181" spans="2:52" x14ac:dyDescent="0.35">
      <c r="B1181" s="7"/>
      <c r="C1181" s="8"/>
      <c r="D1181" s="8"/>
      <c r="E1181" s="8"/>
      <c r="F1181" s="8"/>
      <c r="G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  <c r="AQ1181" s="8"/>
      <c r="AR1181" s="8"/>
      <c r="AS1181" s="8"/>
      <c r="AT1181" s="8"/>
      <c r="AU1181" s="8"/>
      <c r="AV1181" s="8"/>
      <c r="AW1181" s="8"/>
      <c r="AX1181" s="8"/>
      <c r="AY1181" s="8"/>
      <c r="AZ1181" s="10"/>
    </row>
    <row r="1182" spans="2:52" x14ac:dyDescent="0.35">
      <c r="B1182" s="7"/>
      <c r="C1182" s="8"/>
      <c r="D1182" s="8"/>
      <c r="E1182" s="8"/>
      <c r="F1182" s="8"/>
      <c r="G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  <c r="AQ1182" s="8"/>
      <c r="AR1182" s="8"/>
      <c r="AS1182" s="8"/>
      <c r="AT1182" s="8"/>
      <c r="AU1182" s="8"/>
      <c r="AV1182" s="8"/>
      <c r="AW1182" s="8"/>
      <c r="AX1182" s="8"/>
      <c r="AY1182" s="8"/>
      <c r="AZ1182" s="10"/>
    </row>
    <row r="1183" spans="2:52" x14ac:dyDescent="0.35">
      <c r="B1183" s="7"/>
      <c r="C1183" s="8"/>
      <c r="D1183" s="8"/>
      <c r="E1183" s="8"/>
      <c r="F1183" s="8"/>
      <c r="G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/>
      <c r="AZ1183" s="10"/>
    </row>
    <row r="1184" spans="2:52" x14ac:dyDescent="0.35">
      <c r="B1184" s="7"/>
      <c r="C1184" s="8"/>
      <c r="D1184" s="8"/>
      <c r="E1184" s="8"/>
      <c r="F1184" s="8"/>
      <c r="G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  <c r="AQ1184" s="8"/>
      <c r="AR1184" s="8"/>
      <c r="AS1184" s="8"/>
      <c r="AT1184" s="8"/>
      <c r="AU1184" s="8"/>
      <c r="AV1184" s="8"/>
      <c r="AW1184" s="8"/>
      <c r="AX1184" s="8"/>
      <c r="AY1184" s="8"/>
      <c r="AZ1184" s="10"/>
    </row>
    <row r="1185" spans="2:52" x14ac:dyDescent="0.35">
      <c r="B1185" s="7"/>
      <c r="C1185" s="8"/>
      <c r="D1185" s="8"/>
      <c r="E1185" s="8"/>
      <c r="F1185" s="8"/>
      <c r="G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  <c r="AQ1185" s="8"/>
      <c r="AR1185" s="8"/>
      <c r="AS1185" s="8"/>
      <c r="AT1185" s="8"/>
      <c r="AU1185" s="8"/>
      <c r="AV1185" s="8"/>
      <c r="AW1185" s="8"/>
      <c r="AX1185" s="8"/>
      <c r="AY1185" s="8"/>
      <c r="AZ1185" s="10"/>
    </row>
    <row r="1186" spans="2:52" x14ac:dyDescent="0.35">
      <c r="B1186" s="7"/>
      <c r="C1186" s="8"/>
      <c r="D1186" s="8"/>
      <c r="E1186" s="8"/>
      <c r="F1186" s="8"/>
      <c r="G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  <c r="AQ1186" s="8"/>
      <c r="AR1186" s="8"/>
      <c r="AS1186" s="8"/>
      <c r="AT1186" s="8"/>
      <c r="AU1186" s="8"/>
      <c r="AV1186" s="8"/>
      <c r="AW1186" s="8"/>
      <c r="AX1186" s="8"/>
      <c r="AY1186" s="8"/>
      <c r="AZ1186" s="10"/>
    </row>
    <row r="1187" spans="2:52" x14ac:dyDescent="0.35">
      <c r="B1187" s="7"/>
      <c r="C1187" s="8"/>
      <c r="D1187" s="8"/>
      <c r="E1187" s="8"/>
      <c r="F1187" s="8"/>
      <c r="G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  <c r="AQ1187" s="8"/>
      <c r="AR1187" s="8"/>
      <c r="AS1187" s="8"/>
      <c r="AT1187" s="8"/>
      <c r="AU1187" s="8"/>
      <c r="AV1187" s="8"/>
      <c r="AW1187" s="8"/>
      <c r="AX1187" s="8"/>
      <c r="AY1187" s="8"/>
      <c r="AZ1187" s="10"/>
    </row>
    <row r="1188" spans="2:52" x14ac:dyDescent="0.35">
      <c r="B1188" s="7"/>
      <c r="C1188" s="8"/>
      <c r="D1188" s="8"/>
      <c r="E1188" s="8"/>
      <c r="F1188" s="8"/>
      <c r="G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  <c r="AQ1188" s="8"/>
      <c r="AR1188" s="8"/>
      <c r="AS1188" s="8"/>
      <c r="AT1188" s="8"/>
      <c r="AU1188" s="8"/>
      <c r="AV1188" s="8"/>
      <c r="AW1188" s="8"/>
      <c r="AX1188" s="8"/>
      <c r="AY1188" s="8"/>
      <c r="AZ1188" s="10"/>
    </row>
    <row r="1189" spans="2:52" x14ac:dyDescent="0.35">
      <c r="B1189" s="7"/>
      <c r="C1189" s="8"/>
      <c r="D1189" s="8"/>
      <c r="E1189" s="8"/>
      <c r="F1189" s="8"/>
      <c r="G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  <c r="AQ1189" s="8"/>
      <c r="AR1189" s="8"/>
      <c r="AS1189" s="8"/>
      <c r="AT1189" s="8"/>
      <c r="AU1189" s="8"/>
      <c r="AV1189" s="8"/>
      <c r="AW1189" s="8"/>
      <c r="AX1189" s="8"/>
      <c r="AY1189" s="8"/>
      <c r="AZ1189" s="10"/>
    </row>
    <row r="1190" spans="2:52" x14ac:dyDescent="0.35">
      <c r="B1190" s="7"/>
      <c r="C1190" s="8"/>
      <c r="D1190" s="8"/>
      <c r="E1190" s="8"/>
      <c r="F1190" s="8"/>
      <c r="G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  <c r="AQ1190" s="8"/>
      <c r="AR1190" s="8"/>
      <c r="AS1190" s="8"/>
      <c r="AT1190" s="8"/>
      <c r="AU1190" s="8"/>
      <c r="AV1190" s="8"/>
      <c r="AW1190" s="8"/>
      <c r="AX1190" s="8"/>
      <c r="AY1190" s="8"/>
      <c r="AZ1190" s="10"/>
    </row>
    <row r="1191" spans="2:52" x14ac:dyDescent="0.35">
      <c r="B1191" s="7"/>
      <c r="C1191" s="8"/>
      <c r="D1191" s="8"/>
      <c r="E1191" s="8"/>
      <c r="F1191" s="8"/>
      <c r="G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/>
      <c r="AZ1191" s="10"/>
    </row>
    <row r="1192" spans="2:52" x14ac:dyDescent="0.35">
      <c r="B1192" s="7"/>
      <c r="C1192" s="8"/>
      <c r="D1192" s="8"/>
      <c r="E1192" s="8"/>
      <c r="F1192" s="8"/>
      <c r="G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  <c r="AQ1192" s="8"/>
      <c r="AR1192" s="8"/>
      <c r="AS1192" s="8"/>
      <c r="AT1192" s="8"/>
      <c r="AU1192" s="8"/>
      <c r="AV1192" s="8"/>
      <c r="AW1192" s="8"/>
      <c r="AX1192" s="8"/>
      <c r="AY1192" s="8"/>
      <c r="AZ1192" s="10"/>
    </row>
    <row r="1193" spans="2:52" x14ac:dyDescent="0.35">
      <c r="B1193" s="7"/>
      <c r="C1193" s="8"/>
      <c r="D1193" s="8"/>
      <c r="E1193" s="8"/>
      <c r="F1193" s="8"/>
      <c r="G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  <c r="AQ1193" s="8"/>
      <c r="AR1193" s="8"/>
      <c r="AS1193" s="8"/>
      <c r="AT1193" s="8"/>
      <c r="AU1193" s="8"/>
      <c r="AV1193" s="8"/>
      <c r="AW1193" s="8"/>
      <c r="AX1193" s="8"/>
      <c r="AY1193" s="8"/>
      <c r="AZ1193" s="10"/>
    </row>
    <row r="1194" spans="2:52" x14ac:dyDescent="0.35">
      <c r="B1194" s="7"/>
      <c r="C1194" s="8"/>
      <c r="D1194" s="8"/>
      <c r="E1194" s="8"/>
      <c r="F1194" s="8"/>
      <c r="G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/>
      <c r="AZ1194" s="10"/>
    </row>
    <row r="1195" spans="2:52" x14ac:dyDescent="0.35">
      <c r="B1195" s="7"/>
      <c r="C1195" s="8"/>
      <c r="D1195" s="8"/>
      <c r="E1195" s="8"/>
      <c r="F1195" s="8"/>
      <c r="G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  <c r="AQ1195" s="8"/>
      <c r="AR1195" s="8"/>
      <c r="AS1195" s="8"/>
      <c r="AT1195" s="8"/>
      <c r="AU1195" s="8"/>
      <c r="AV1195" s="8"/>
      <c r="AW1195" s="8"/>
      <c r="AX1195" s="8"/>
      <c r="AY1195" s="8"/>
      <c r="AZ1195" s="10"/>
    </row>
    <row r="1196" spans="2:52" x14ac:dyDescent="0.35">
      <c r="B1196" s="7"/>
      <c r="C1196" s="8"/>
      <c r="D1196" s="8"/>
      <c r="E1196" s="8"/>
      <c r="F1196" s="8"/>
      <c r="G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  <c r="AQ1196" s="8"/>
      <c r="AR1196" s="8"/>
      <c r="AS1196" s="8"/>
      <c r="AT1196" s="8"/>
      <c r="AU1196" s="8"/>
      <c r="AV1196" s="8"/>
      <c r="AW1196" s="8"/>
      <c r="AX1196" s="8"/>
      <c r="AY1196" s="8"/>
      <c r="AZ1196" s="10"/>
    </row>
    <row r="1197" spans="2:52" x14ac:dyDescent="0.35">
      <c r="B1197" s="7"/>
      <c r="C1197" s="8"/>
      <c r="D1197" s="8"/>
      <c r="E1197" s="8"/>
      <c r="F1197" s="8"/>
      <c r="G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  <c r="AQ1197" s="8"/>
      <c r="AR1197" s="8"/>
      <c r="AS1197" s="8"/>
      <c r="AT1197" s="8"/>
      <c r="AU1197" s="8"/>
      <c r="AV1197" s="8"/>
      <c r="AW1197" s="8"/>
      <c r="AX1197" s="8"/>
      <c r="AY1197" s="8"/>
      <c r="AZ1197" s="10"/>
    </row>
    <row r="1198" spans="2:52" x14ac:dyDescent="0.35">
      <c r="B1198" s="7"/>
      <c r="C1198" s="8"/>
      <c r="D1198" s="8"/>
      <c r="E1198" s="8"/>
      <c r="F1198" s="8"/>
      <c r="G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  <c r="AQ1198" s="8"/>
      <c r="AR1198" s="8"/>
      <c r="AS1198" s="8"/>
      <c r="AT1198" s="8"/>
      <c r="AU1198" s="8"/>
      <c r="AV1198" s="8"/>
      <c r="AW1198" s="8"/>
      <c r="AX1198" s="8"/>
      <c r="AY1198" s="8"/>
      <c r="AZ1198" s="10"/>
    </row>
    <row r="1199" spans="2:52" x14ac:dyDescent="0.35">
      <c r="B1199" s="7"/>
      <c r="C1199" s="8"/>
      <c r="D1199" s="8"/>
      <c r="E1199" s="8"/>
      <c r="F1199" s="8"/>
      <c r="G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  <c r="AQ1199" s="8"/>
      <c r="AR1199" s="8"/>
      <c r="AS1199" s="8"/>
      <c r="AT1199" s="8"/>
      <c r="AU1199" s="8"/>
      <c r="AV1199" s="8"/>
      <c r="AW1199" s="8"/>
      <c r="AX1199" s="8"/>
      <c r="AY1199" s="8"/>
      <c r="AZ1199" s="10"/>
    </row>
    <row r="1200" spans="2:52" x14ac:dyDescent="0.35">
      <c r="B1200" s="7"/>
      <c r="C1200" s="8"/>
      <c r="D1200" s="8"/>
      <c r="E1200" s="8"/>
      <c r="F1200" s="8"/>
      <c r="G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/>
      <c r="AZ1200" s="10"/>
    </row>
    <row r="1201" spans="2:52" x14ac:dyDescent="0.35">
      <c r="B1201" s="7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10"/>
    </row>
    <row r="1202" spans="2:52" x14ac:dyDescent="0.35">
      <c r="B1202" s="7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10"/>
    </row>
    <row r="1203" spans="2:52" x14ac:dyDescent="0.35">
      <c r="B1203" s="7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10"/>
    </row>
    <row r="1204" spans="2:52" x14ac:dyDescent="0.35">
      <c r="B1204" s="7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10"/>
    </row>
    <row r="1205" spans="2:52" x14ac:dyDescent="0.35">
      <c r="B1205" s="7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10"/>
    </row>
    <row r="1206" spans="2:52" x14ac:dyDescent="0.35">
      <c r="B1206" s="7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10"/>
    </row>
    <row r="1207" spans="2:52" x14ac:dyDescent="0.35">
      <c r="B1207" s="7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10"/>
    </row>
    <row r="1208" spans="2:52" x14ac:dyDescent="0.35">
      <c r="B1208" s="7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10"/>
    </row>
    <row r="1209" spans="2:52" x14ac:dyDescent="0.35">
      <c r="B1209" s="7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10"/>
    </row>
    <row r="1210" spans="2:52" x14ac:dyDescent="0.35">
      <c r="B1210" s="7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10"/>
    </row>
    <row r="1211" spans="2:52" x14ac:dyDescent="0.35">
      <c r="B1211" s="7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10"/>
    </row>
    <row r="1212" spans="2:52" x14ac:dyDescent="0.35">
      <c r="B1212" s="7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10"/>
    </row>
    <row r="1213" spans="2:52" x14ac:dyDescent="0.35">
      <c r="B1213" s="7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10"/>
    </row>
    <row r="1214" spans="2:52" x14ac:dyDescent="0.35">
      <c r="B1214" s="7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10"/>
    </row>
    <row r="1215" spans="2:52" x14ac:dyDescent="0.35">
      <c r="B1215" s="7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10"/>
    </row>
    <row r="1216" spans="2:52" x14ac:dyDescent="0.35">
      <c r="B1216" s="7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10"/>
    </row>
    <row r="1217" spans="2:52" x14ac:dyDescent="0.35">
      <c r="B1217" s="7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10"/>
    </row>
    <row r="1218" spans="2:52" x14ac:dyDescent="0.35">
      <c r="B1218" s="7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10"/>
    </row>
    <row r="1219" spans="2:52" x14ac:dyDescent="0.35">
      <c r="B1219" s="7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10"/>
    </row>
    <row r="1220" spans="2:52" x14ac:dyDescent="0.35">
      <c r="B1220" s="7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10"/>
    </row>
    <row r="1221" spans="2:52" x14ac:dyDescent="0.35">
      <c r="B1221" s="7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10"/>
    </row>
    <row r="1222" spans="2:52" x14ac:dyDescent="0.35">
      <c r="B1222" s="7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10"/>
    </row>
    <row r="1223" spans="2:52" x14ac:dyDescent="0.35">
      <c r="B1223" s="7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10"/>
    </row>
    <row r="1224" spans="2:52" x14ac:dyDescent="0.35">
      <c r="B1224" s="7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10"/>
    </row>
    <row r="1225" spans="2:52" x14ac:dyDescent="0.35">
      <c r="B1225" s="7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10"/>
    </row>
    <row r="1226" spans="2:52" x14ac:dyDescent="0.35">
      <c r="B1226" s="7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10"/>
    </row>
    <row r="1227" spans="2:52" x14ac:dyDescent="0.35">
      <c r="B1227" s="7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  <c r="AQ1227" s="8"/>
      <c r="AR1227" s="8"/>
      <c r="AS1227" s="8"/>
      <c r="AT1227" s="8"/>
      <c r="AU1227" s="8"/>
      <c r="AV1227" s="8"/>
      <c r="AW1227" s="8"/>
      <c r="AX1227" s="8"/>
      <c r="AY1227" s="8"/>
      <c r="AZ1227" s="10"/>
    </row>
    <row r="1228" spans="2:52" x14ac:dyDescent="0.35">
      <c r="B1228" s="7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/>
      <c r="AZ1228" s="10"/>
    </row>
    <row r="1229" spans="2:52" x14ac:dyDescent="0.35">
      <c r="B1229" s="7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  <c r="AQ1229" s="8"/>
      <c r="AR1229" s="8"/>
      <c r="AS1229" s="8"/>
      <c r="AT1229" s="8"/>
      <c r="AU1229" s="8"/>
      <c r="AV1229" s="8"/>
      <c r="AW1229" s="8"/>
      <c r="AX1229" s="8"/>
      <c r="AY1229" s="8"/>
      <c r="AZ1229" s="10"/>
    </row>
    <row r="1230" spans="2:52" x14ac:dyDescent="0.35">
      <c r="B1230" s="7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  <c r="AQ1230" s="8"/>
      <c r="AR1230" s="8"/>
      <c r="AS1230" s="8"/>
      <c r="AT1230" s="8"/>
      <c r="AU1230" s="8"/>
      <c r="AV1230" s="8"/>
      <c r="AW1230" s="8"/>
      <c r="AX1230" s="8"/>
      <c r="AY1230" s="8"/>
      <c r="AZ1230" s="10"/>
    </row>
    <row r="1231" spans="2:52" x14ac:dyDescent="0.35">
      <c r="B1231" s="7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  <c r="AQ1231" s="8"/>
      <c r="AR1231" s="8"/>
      <c r="AS1231" s="8"/>
      <c r="AT1231" s="8"/>
      <c r="AU1231" s="8"/>
      <c r="AV1231" s="8"/>
      <c r="AW1231" s="8"/>
      <c r="AX1231" s="8"/>
      <c r="AY1231" s="8"/>
      <c r="AZ1231" s="10"/>
    </row>
    <row r="1232" spans="2:52" x14ac:dyDescent="0.35">
      <c r="B1232" s="7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  <c r="AQ1232" s="8"/>
      <c r="AR1232" s="8"/>
      <c r="AS1232" s="8"/>
      <c r="AT1232" s="8"/>
      <c r="AU1232" s="8"/>
      <c r="AV1232" s="8"/>
      <c r="AW1232" s="8"/>
      <c r="AX1232" s="8"/>
      <c r="AY1232" s="8"/>
      <c r="AZ1232" s="10"/>
    </row>
    <row r="1233" spans="2:52" x14ac:dyDescent="0.35">
      <c r="B1233" s="7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  <c r="AQ1233" s="8"/>
      <c r="AR1233" s="8"/>
      <c r="AS1233" s="8"/>
      <c r="AT1233" s="8"/>
      <c r="AU1233" s="8"/>
      <c r="AV1233" s="8"/>
      <c r="AW1233" s="8"/>
      <c r="AX1233" s="8"/>
      <c r="AY1233" s="8"/>
      <c r="AZ1233" s="10"/>
    </row>
    <row r="1234" spans="2:52" x14ac:dyDescent="0.35">
      <c r="B1234" s="7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  <c r="AQ1234" s="8"/>
      <c r="AR1234" s="8"/>
      <c r="AS1234" s="8"/>
      <c r="AT1234" s="8"/>
      <c r="AU1234" s="8"/>
      <c r="AV1234" s="8"/>
      <c r="AW1234" s="8"/>
      <c r="AX1234" s="8"/>
      <c r="AY1234" s="8"/>
      <c r="AZ1234" s="10"/>
    </row>
    <row r="1235" spans="2:52" x14ac:dyDescent="0.35">
      <c r="B1235" s="7"/>
      <c r="C1235" s="8"/>
      <c r="D1235" s="8"/>
      <c r="E1235" s="8"/>
      <c r="F1235" s="8"/>
      <c r="G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10"/>
    </row>
    <row r="1236" spans="2:52" x14ac:dyDescent="0.35">
      <c r="B1236" s="7"/>
      <c r="C1236" s="8"/>
      <c r="D1236" s="8"/>
      <c r="E1236" s="8"/>
      <c r="F1236" s="8"/>
      <c r="G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  <c r="AQ1236" s="8"/>
      <c r="AR1236" s="8"/>
      <c r="AS1236" s="8"/>
      <c r="AT1236" s="8"/>
      <c r="AU1236" s="8"/>
      <c r="AV1236" s="8"/>
      <c r="AW1236" s="8"/>
      <c r="AX1236" s="8"/>
      <c r="AY1236" s="8"/>
      <c r="AZ1236" s="10"/>
    </row>
    <row r="1237" spans="2:52" x14ac:dyDescent="0.35">
      <c r="B1237" s="7"/>
      <c r="C1237" s="8"/>
      <c r="D1237" s="8"/>
      <c r="E1237" s="8"/>
      <c r="F1237" s="8"/>
      <c r="G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  <c r="AQ1237" s="8"/>
      <c r="AR1237" s="8"/>
      <c r="AS1237" s="8"/>
      <c r="AT1237" s="8"/>
      <c r="AU1237" s="8"/>
      <c r="AV1237" s="8"/>
      <c r="AW1237" s="8"/>
      <c r="AX1237" s="8"/>
      <c r="AY1237" s="8"/>
      <c r="AZ1237" s="10"/>
    </row>
    <row r="1238" spans="2:52" x14ac:dyDescent="0.35">
      <c r="B1238" s="7"/>
      <c r="C1238" s="8"/>
      <c r="D1238" s="8"/>
      <c r="E1238" s="8"/>
      <c r="F1238" s="8"/>
      <c r="G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10"/>
    </row>
    <row r="1239" spans="2:52" x14ac:dyDescent="0.35">
      <c r="B1239" s="7"/>
      <c r="C1239" s="8"/>
      <c r="D1239" s="8"/>
      <c r="E1239" s="8"/>
      <c r="F1239" s="8"/>
      <c r="G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  <c r="AQ1239" s="8"/>
      <c r="AR1239" s="8"/>
      <c r="AS1239" s="8"/>
      <c r="AT1239" s="8"/>
      <c r="AU1239" s="8"/>
      <c r="AV1239" s="8"/>
      <c r="AW1239" s="8"/>
      <c r="AX1239" s="8"/>
      <c r="AY1239" s="8"/>
      <c r="AZ1239" s="10"/>
    </row>
    <row r="1240" spans="2:52" x14ac:dyDescent="0.35">
      <c r="B1240" s="7"/>
      <c r="C1240" s="8"/>
      <c r="D1240" s="8"/>
      <c r="E1240" s="8"/>
      <c r="F1240" s="8"/>
      <c r="G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  <c r="AQ1240" s="8"/>
      <c r="AR1240" s="8"/>
      <c r="AS1240" s="8"/>
      <c r="AT1240" s="8"/>
      <c r="AU1240" s="8"/>
      <c r="AV1240" s="8"/>
      <c r="AW1240" s="8"/>
      <c r="AX1240" s="8"/>
      <c r="AY1240" s="8"/>
      <c r="AZ1240" s="10"/>
    </row>
    <row r="1241" spans="2:52" x14ac:dyDescent="0.35">
      <c r="B1241" s="7"/>
      <c r="C1241" s="8"/>
      <c r="D1241" s="8"/>
      <c r="E1241" s="8"/>
      <c r="F1241" s="8"/>
      <c r="G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  <c r="AQ1241" s="8"/>
      <c r="AR1241" s="8"/>
      <c r="AS1241" s="8"/>
      <c r="AT1241" s="8"/>
      <c r="AU1241" s="8"/>
      <c r="AV1241" s="8"/>
      <c r="AW1241" s="8"/>
      <c r="AX1241" s="8"/>
      <c r="AY1241" s="8"/>
      <c r="AZ1241" s="10"/>
    </row>
    <row r="1242" spans="2:52" x14ac:dyDescent="0.35">
      <c r="B1242" s="7"/>
      <c r="C1242" s="8"/>
      <c r="D1242" s="8"/>
      <c r="E1242" s="8"/>
      <c r="F1242" s="8"/>
      <c r="G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  <c r="AQ1242" s="8"/>
      <c r="AR1242" s="8"/>
      <c r="AS1242" s="8"/>
      <c r="AT1242" s="8"/>
      <c r="AU1242" s="8"/>
      <c r="AV1242" s="8"/>
      <c r="AW1242" s="8"/>
      <c r="AX1242" s="8"/>
      <c r="AY1242" s="8"/>
      <c r="AZ1242" s="10"/>
    </row>
    <row r="1243" spans="2:52" x14ac:dyDescent="0.35">
      <c r="B1243" s="7"/>
      <c r="C1243" s="8"/>
      <c r="D1243" s="8"/>
      <c r="E1243" s="8"/>
      <c r="F1243" s="8"/>
      <c r="G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  <c r="AQ1243" s="8"/>
      <c r="AR1243" s="8"/>
      <c r="AS1243" s="8"/>
      <c r="AT1243" s="8"/>
      <c r="AU1243" s="8"/>
      <c r="AV1243" s="8"/>
      <c r="AW1243" s="8"/>
      <c r="AX1243" s="8"/>
      <c r="AY1243" s="8"/>
      <c r="AZ1243" s="10"/>
    </row>
    <row r="1244" spans="2:52" x14ac:dyDescent="0.35">
      <c r="B1244" s="7"/>
      <c r="C1244" s="8"/>
      <c r="D1244" s="8"/>
      <c r="E1244" s="8"/>
      <c r="F1244" s="8"/>
      <c r="G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  <c r="AQ1244" s="8"/>
      <c r="AR1244" s="8"/>
      <c r="AS1244" s="8"/>
      <c r="AT1244" s="8"/>
      <c r="AU1244" s="8"/>
      <c r="AV1244" s="8"/>
      <c r="AW1244" s="8"/>
      <c r="AX1244" s="8"/>
      <c r="AY1244" s="8"/>
      <c r="AZ1244" s="10"/>
    </row>
    <row r="1245" spans="2:52" x14ac:dyDescent="0.35">
      <c r="B1245" s="7"/>
      <c r="C1245" s="8"/>
      <c r="D1245" s="8"/>
      <c r="E1245" s="8"/>
      <c r="F1245" s="8"/>
      <c r="G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  <c r="AQ1245" s="8"/>
      <c r="AR1245" s="8"/>
      <c r="AS1245" s="8"/>
      <c r="AT1245" s="8"/>
      <c r="AU1245" s="8"/>
      <c r="AV1245" s="8"/>
      <c r="AW1245" s="8"/>
      <c r="AX1245" s="8"/>
      <c r="AY1245" s="8"/>
      <c r="AZ1245" s="10"/>
    </row>
    <row r="1246" spans="2:52" x14ac:dyDescent="0.35">
      <c r="B1246" s="7"/>
      <c r="C1246" s="8"/>
      <c r="D1246" s="8"/>
      <c r="E1246" s="8"/>
      <c r="F1246" s="8"/>
      <c r="G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  <c r="AQ1246" s="8"/>
      <c r="AR1246" s="8"/>
      <c r="AS1246" s="8"/>
      <c r="AT1246" s="8"/>
      <c r="AU1246" s="8"/>
      <c r="AV1246" s="8"/>
      <c r="AW1246" s="8"/>
      <c r="AX1246" s="8"/>
      <c r="AY1246" s="8"/>
      <c r="AZ1246" s="10"/>
    </row>
    <row r="1247" spans="2:52" x14ac:dyDescent="0.35">
      <c r="B1247" s="7"/>
      <c r="C1247" s="8"/>
      <c r="D1247" s="8"/>
      <c r="E1247" s="8"/>
      <c r="F1247" s="8"/>
      <c r="G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/>
      <c r="AZ1247" s="10"/>
    </row>
    <row r="1248" spans="2:52" x14ac:dyDescent="0.35">
      <c r="B1248" s="7"/>
      <c r="C1248" s="8"/>
      <c r="D1248" s="8"/>
      <c r="E1248" s="8"/>
      <c r="F1248" s="8"/>
      <c r="G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  <c r="AQ1248" s="8"/>
      <c r="AR1248" s="8"/>
      <c r="AS1248" s="8"/>
      <c r="AT1248" s="8"/>
      <c r="AU1248" s="8"/>
      <c r="AV1248" s="8"/>
      <c r="AW1248" s="8"/>
      <c r="AX1248" s="8"/>
      <c r="AY1248" s="8"/>
      <c r="AZ1248" s="10"/>
    </row>
    <row r="1249" spans="2:52" x14ac:dyDescent="0.35">
      <c r="B1249" s="7"/>
      <c r="C1249" s="8"/>
      <c r="D1249" s="8"/>
      <c r="E1249" s="8"/>
      <c r="F1249" s="8"/>
      <c r="G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  <c r="AQ1249" s="8"/>
      <c r="AR1249" s="8"/>
      <c r="AS1249" s="8"/>
      <c r="AT1249" s="8"/>
      <c r="AU1249" s="8"/>
      <c r="AV1249" s="8"/>
      <c r="AW1249" s="8"/>
      <c r="AX1249" s="8"/>
      <c r="AY1249" s="8"/>
      <c r="AZ1249" s="10"/>
    </row>
    <row r="1250" spans="2:52" x14ac:dyDescent="0.35">
      <c r="B1250" s="7"/>
      <c r="C1250" s="8"/>
      <c r="D1250" s="8"/>
      <c r="E1250" s="8"/>
      <c r="F1250" s="8"/>
      <c r="G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  <c r="AQ1250" s="8"/>
      <c r="AR1250" s="8"/>
      <c r="AS1250" s="8"/>
      <c r="AT1250" s="8"/>
      <c r="AU1250" s="8"/>
      <c r="AV1250" s="8"/>
      <c r="AW1250" s="8"/>
      <c r="AX1250" s="8"/>
      <c r="AY1250" s="8"/>
      <c r="AZ1250" s="10"/>
    </row>
    <row r="1251" spans="2:52" x14ac:dyDescent="0.35">
      <c r="B1251" s="7"/>
      <c r="C1251" s="8"/>
      <c r="D1251" s="8"/>
      <c r="E1251" s="8"/>
      <c r="F1251" s="8"/>
      <c r="G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  <c r="AQ1251" s="8"/>
      <c r="AR1251" s="8"/>
      <c r="AS1251" s="8"/>
      <c r="AT1251" s="8"/>
      <c r="AU1251" s="8"/>
      <c r="AV1251" s="8"/>
      <c r="AW1251" s="8"/>
      <c r="AX1251" s="8"/>
      <c r="AY1251" s="8"/>
      <c r="AZ1251" s="10"/>
    </row>
    <row r="1252" spans="2:52" x14ac:dyDescent="0.35">
      <c r="B1252" s="7"/>
      <c r="C1252" s="8"/>
      <c r="D1252" s="8"/>
      <c r="E1252" s="8"/>
      <c r="F1252" s="8"/>
      <c r="G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10"/>
    </row>
    <row r="1253" spans="2:52" x14ac:dyDescent="0.35">
      <c r="B1253" s="7"/>
      <c r="C1253" s="8"/>
      <c r="D1253" s="8"/>
      <c r="E1253" s="8"/>
      <c r="F1253" s="8"/>
      <c r="G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  <c r="AQ1253" s="8"/>
      <c r="AR1253" s="8"/>
      <c r="AS1253" s="8"/>
      <c r="AT1253" s="8"/>
      <c r="AU1253" s="8"/>
      <c r="AV1253" s="8"/>
      <c r="AW1253" s="8"/>
      <c r="AX1253" s="8"/>
      <c r="AY1253" s="8"/>
      <c r="AZ1253" s="10"/>
    </row>
    <row r="1254" spans="2:52" x14ac:dyDescent="0.35">
      <c r="B1254" s="7"/>
      <c r="C1254" s="8"/>
      <c r="D1254" s="8"/>
      <c r="E1254" s="8"/>
      <c r="F1254" s="8"/>
      <c r="G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  <c r="AQ1254" s="8"/>
      <c r="AR1254" s="8"/>
      <c r="AS1254" s="8"/>
      <c r="AT1254" s="8"/>
      <c r="AU1254" s="8"/>
      <c r="AV1254" s="8"/>
      <c r="AW1254" s="8"/>
      <c r="AX1254" s="8"/>
      <c r="AY1254" s="8"/>
      <c r="AZ1254" s="10"/>
    </row>
    <row r="1255" spans="2:52" x14ac:dyDescent="0.35">
      <c r="B1255" s="7"/>
      <c r="C1255" s="8"/>
      <c r="D1255" s="8"/>
      <c r="E1255" s="8"/>
      <c r="F1255" s="8"/>
      <c r="G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  <c r="AQ1255" s="8"/>
      <c r="AR1255" s="8"/>
      <c r="AS1255" s="8"/>
      <c r="AT1255" s="8"/>
      <c r="AU1255" s="8"/>
      <c r="AV1255" s="8"/>
      <c r="AW1255" s="8"/>
      <c r="AX1255" s="8"/>
      <c r="AY1255" s="8"/>
      <c r="AZ1255" s="10"/>
    </row>
    <row r="1256" spans="2:52" x14ac:dyDescent="0.35">
      <c r="B1256" s="7"/>
      <c r="C1256" s="8"/>
      <c r="D1256" s="8"/>
      <c r="E1256" s="8"/>
      <c r="F1256" s="8"/>
      <c r="G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  <c r="AQ1256" s="8"/>
      <c r="AR1256" s="8"/>
      <c r="AS1256" s="8"/>
      <c r="AT1256" s="8"/>
      <c r="AU1256" s="8"/>
      <c r="AV1256" s="8"/>
      <c r="AW1256" s="8"/>
      <c r="AX1256" s="8"/>
      <c r="AY1256" s="8"/>
      <c r="AZ1256" s="10"/>
    </row>
    <row r="1257" spans="2:52" x14ac:dyDescent="0.35">
      <c r="B1257" s="7"/>
      <c r="C1257" s="8"/>
      <c r="D1257" s="8"/>
      <c r="E1257" s="8"/>
      <c r="F1257" s="8"/>
      <c r="G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  <c r="AQ1257" s="8"/>
      <c r="AR1257" s="8"/>
      <c r="AS1257" s="8"/>
      <c r="AT1257" s="8"/>
      <c r="AU1257" s="8"/>
      <c r="AV1257" s="8"/>
      <c r="AW1257" s="8"/>
      <c r="AX1257" s="8"/>
      <c r="AY1257" s="8"/>
      <c r="AZ1257" s="10"/>
    </row>
    <row r="1258" spans="2:52" x14ac:dyDescent="0.35">
      <c r="B1258" s="7"/>
      <c r="C1258" s="8"/>
      <c r="D1258" s="8"/>
      <c r="E1258" s="8"/>
      <c r="F1258" s="8"/>
      <c r="G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  <c r="AQ1258" s="8"/>
      <c r="AR1258" s="8"/>
      <c r="AS1258" s="8"/>
      <c r="AT1258" s="8"/>
      <c r="AU1258" s="8"/>
      <c r="AV1258" s="8"/>
      <c r="AW1258" s="8"/>
      <c r="AX1258" s="8"/>
      <c r="AY1258" s="8"/>
      <c r="AZ1258" s="10"/>
    </row>
    <row r="1259" spans="2:52" x14ac:dyDescent="0.35">
      <c r="B1259" s="7"/>
      <c r="C1259" s="8"/>
      <c r="D1259" s="8"/>
      <c r="E1259" s="8"/>
      <c r="F1259" s="8"/>
      <c r="G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  <c r="AQ1259" s="8"/>
      <c r="AR1259" s="8"/>
      <c r="AS1259" s="8"/>
      <c r="AT1259" s="8"/>
      <c r="AU1259" s="8"/>
      <c r="AV1259" s="8"/>
      <c r="AW1259" s="8"/>
      <c r="AX1259" s="8"/>
      <c r="AY1259" s="8"/>
      <c r="AZ1259" s="10"/>
    </row>
    <row r="1260" spans="2:52" x14ac:dyDescent="0.35">
      <c r="B1260" s="7"/>
      <c r="C1260" s="8"/>
      <c r="D1260" s="8"/>
      <c r="E1260" s="8"/>
      <c r="F1260" s="8"/>
      <c r="G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  <c r="AQ1260" s="8"/>
      <c r="AR1260" s="8"/>
      <c r="AS1260" s="8"/>
      <c r="AT1260" s="8"/>
      <c r="AU1260" s="8"/>
      <c r="AV1260" s="8"/>
      <c r="AW1260" s="8"/>
      <c r="AX1260" s="8"/>
      <c r="AY1260" s="8"/>
      <c r="AZ1260" s="10"/>
    </row>
    <row r="1261" spans="2:52" x14ac:dyDescent="0.35">
      <c r="B1261" s="7"/>
      <c r="C1261" s="8"/>
      <c r="D1261" s="8"/>
      <c r="E1261" s="8"/>
      <c r="F1261" s="8"/>
      <c r="G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  <c r="AQ1261" s="8"/>
      <c r="AR1261" s="8"/>
      <c r="AS1261" s="8"/>
      <c r="AT1261" s="8"/>
      <c r="AU1261" s="8"/>
      <c r="AV1261" s="8"/>
      <c r="AW1261" s="8"/>
      <c r="AX1261" s="8"/>
      <c r="AY1261" s="8"/>
      <c r="AZ1261" s="10"/>
    </row>
    <row r="1262" spans="2:52" x14ac:dyDescent="0.35">
      <c r="B1262" s="7"/>
      <c r="C1262" s="8"/>
      <c r="D1262" s="8"/>
      <c r="E1262" s="8"/>
      <c r="F1262" s="8"/>
      <c r="G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  <c r="AQ1262" s="8"/>
      <c r="AR1262" s="8"/>
      <c r="AS1262" s="8"/>
      <c r="AT1262" s="8"/>
      <c r="AU1262" s="8"/>
      <c r="AV1262" s="8"/>
      <c r="AW1262" s="8"/>
      <c r="AX1262" s="8"/>
      <c r="AY1262" s="8"/>
      <c r="AZ1262" s="10"/>
    </row>
    <row r="1263" spans="2:52" x14ac:dyDescent="0.35">
      <c r="B1263" s="7"/>
      <c r="C1263" s="8"/>
      <c r="D1263" s="8"/>
      <c r="E1263" s="8"/>
      <c r="F1263" s="8"/>
      <c r="G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  <c r="AQ1263" s="8"/>
      <c r="AR1263" s="8"/>
      <c r="AS1263" s="8"/>
      <c r="AT1263" s="8"/>
      <c r="AU1263" s="8"/>
      <c r="AV1263" s="8"/>
      <c r="AW1263" s="8"/>
      <c r="AX1263" s="8"/>
      <c r="AY1263" s="8"/>
      <c r="AZ1263" s="10"/>
    </row>
    <row r="1264" spans="2:52" x14ac:dyDescent="0.35">
      <c r="B1264" s="7"/>
      <c r="C1264" s="8"/>
      <c r="D1264" s="8"/>
      <c r="E1264" s="8"/>
      <c r="F1264" s="8"/>
      <c r="G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10"/>
    </row>
    <row r="1265" spans="2:52" x14ac:dyDescent="0.35">
      <c r="B1265" s="7"/>
      <c r="C1265" s="8"/>
      <c r="D1265" s="8"/>
      <c r="E1265" s="8"/>
      <c r="F1265" s="8"/>
      <c r="G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  <c r="AQ1265" s="8"/>
      <c r="AR1265" s="8"/>
      <c r="AS1265" s="8"/>
      <c r="AT1265" s="8"/>
      <c r="AU1265" s="8"/>
      <c r="AV1265" s="8"/>
      <c r="AW1265" s="8"/>
      <c r="AX1265" s="8"/>
      <c r="AY1265" s="8"/>
      <c r="AZ1265" s="10"/>
    </row>
    <row r="1266" spans="2:52" x14ac:dyDescent="0.35">
      <c r="B1266" s="7"/>
      <c r="C1266" s="8"/>
      <c r="D1266" s="8"/>
      <c r="E1266" s="8"/>
      <c r="F1266" s="8"/>
      <c r="G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  <c r="AD1266" s="8"/>
      <c r="AE1266" s="8"/>
      <c r="AF1266" s="8"/>
      <c r="AG1266" s="8"/>
      <c r="AH1266" s="8"/>
      <c r="AI1266" s="8"/>
      <c r="AJ1266" s="8"/>
      <c r="AK1266" s="8"/>
      <c r="AL1266" s="8"/>
      <c r="AM1266" s="8"/>
      <c r="AN1266" s="8"/>
      <c r="AO1266" s="8"/>
      <c r="AP1266" s="8"/>
      <c r="AQ1266" s="8"/>
      <c r="AR1266" s="8"/>
      <c r="AS1266" s="8"/>
      <c r="AT1266" s="8"/>
      <c r="AU1266" s="8"/>
      <c r="AV1266" s="8"/>
      <c r="AW1266" s="8"/>
      <c r="AX1266" s="8"/>
      <c r="AY1266" s="8"/>
      <c r="AZ1266" s="10"/>
    </row>
    <row r="1267" spans="2:52" x14ac:dyDescent="0.35">
      <c r="B1267" s="7"/>
      <c r="C1267" s="8"/>
      <c r="D1267" s="8"/>
      <c r="E1267" s="8"/>
      <c r="F1267" s="8"/>
      <c r="G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8"/>
      <c r="AM1267" s="8"/>
      <c r="AN1267" s="8"/>
      <c r="AO1267" s="8"/>
      <c r="AP1267" s="8"/>
      <c r="AQ1267" s="8"/>
      <c r="AR1267" s="8"/>
      <c r="AS1267" s="8"/>
      <c r="AT1267" s="8"/>
      <c r="AU1267" s="8"/>
      <c r="AV1267" s="8"/>
      <c r="AW1267" s="8"/>
      <c r="AX1267" s="8"/>
      <c r="AY1267" s="8"/>
      <c r="AZ1267" s="10"/>
    </row>
    <row r="1268" spans="2:52" x14ac:dyDescent="0.35">
      <c r="B1268" s="7"/>
      <c r="C1268" s="8"/>
      <c r="D1268" s="8"/>
      <c r="E1268" s="8"/>
      <c r="F1268" s="8"/>
      <c r="G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8"/>
      <c r="AM1268" s="8"/>
      <c r="AN1268" s="8"/>
      <c r="AO1268" s="8"/>
      <c r="AP1268" s="8"/>
      <c r="AQ1268" s="8"/>
      <c r="AR1268" s="8"/>
      <c r="AS1268" s="8"/>
      <c r="AT1268" s="8"/>
      <c r="AU1268" s="8"/>
      <c r="AV1268" s="8"/>
      <c r="AW1268" s="8"/>
      <c r="AX1268" s="8"/>
      <c r="AY1268" s="8"/>
      <c r="AZ1268" s="10"/>
    </row>
    <row r="1269" spans="2:52" x14ac:dyDescent="0.35">
      <c r="B1269" s="7"/>
      <c r="C1269" s="8"/>
      <c r="D1269" s="8"/>
      <c r="E1269" s="8"/>
      <c r="F1269" s="8"/>
      <c r="G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8"/>
      <c r="AM1269" s="8"/>
      <c r="AN1269" s="8"/>
      <c r="AO1269" s="8"/>
      <c r="AP1269" s="8"/>
      <c r="AQ1269" s="8"/>
      <c r="AR1269" s="8"/>
      <c r="AS1269" s="8"/>
      <c r="AT1269" s="8"/>
      <c r="AU1269" s="8"/>
      <c r="AV1269" s="8"/>
      <c r="AW1269" s="8"/>
      <c r="AX1269" s="8"/>
      <c r="AY1269" s="8"/>
      <c r="AZ1269" s="10"/>
    </row>
    <row r="1270" spans="2:52" x14ac:dyDescent="0.35">
      <c r="B1270" s="7"/>
      <c r="C1270" s="8"/>
      <c r="D1270" s="8"/>
      <c r="E1270" s="8"/>
      <c r="F1270" s="8"/>
      <c r="G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8"/>
      <c r="AM1270" s="8"/>
      <c r="AN1270" s="8"/>
      <c r="AO1270" s="8"/>
      <c r="AP1270" s="8"/>
      <c r="AQ1270" s="8"/>
      <c r="AR1270" s="8"/>
      <c r="AS1270" s="8"/>
      <c r="AT1270" s="8"/>
      <c r="AU1270" s="8"/>
      <c r="AV1270" s="8"/>
      <c r="AW1270" s="8"/>
      <c r="AX1270" s="8"/>
      <c r="AY1270" s="8"/>
      <c r="AZ1270" s="10"/>
    </row>
    <row r="1271" spans="2:52" x14ac:dyDescent="0.35">
      <c r="B1271" s="7"/>
      <c r="C1271" s="8"/>
      <c r="D1271" s="8"/>
      <c r="E1271" s="8"/>
      <c r="F1271" s="8"/>
      <c r="G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  <c r="AD1271" s="8"/>
      <c r="AE1271" s="8"/>
      <c r="AF1271" s="8"/>
      <c r="AG1271" s="8"/>
      <c r="AH1271" s="8"/>
      <c r="AI1271" s="8"/>
      <c r="AJ1271" s="8"/>
      <c r="AK1271" s="8"/>
      <c r="AL1271" s="8"/>
      <c r="AM1271" s="8"/>
      <c r="AN1271" s="8"/>
      <c r="AO1271" s="8"/>
      <c r="AP1271" s="8"/>
      <c r="AQ1271" s="8"/>
      <c r="AR1271" s="8"/>
      <c r="AS1271" s="8"/>
      <c r="AT1271" s="8"/>
      <c r="AU1271" s="8"/>
      <c r="AV1271" s="8"/>
      <c r="AW1271" s="8"/>
      <c r="AX1271" s="8"/>
      <c r="AY1271" s="8"/>
      <c r="AZ1271" s="10"/>
    </row>
    <row r="1272" spans="2:52" x14ac:dyDescent="0.35">
      <c r="B1272" s="7"/>
      <c r="C1272" s="8"/>
      <c r="D1272" s="8"/>
      <c r="E1272" s="8"/>
      <c r="F1272" s="8"/>
      <c r="G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  <c r="AD1272" s="8"/>
      <c r="AE1272" s="8"/>
      <c r="AF1272" s="8"/>
      <c r="AG1272" s="8"/>
      <c r="AH1272" s="8"/>
      <c r="AI1272" s="8"/>
      <c r="AJ1272" s="8"/>
      <c r="AK1272" s="8"/>
      <c r="AL1272" s="8"/>
      <c r="AM1272" s="8"/>
      <c r="AN1272" s="8"/>
      <c r="AO1272" s="8"/>
      <c r="AP1272" s="8"/>
      <c r="AQ1272" s="8"/>
      <c r="AR1272" s="8"/>
      <c r="AS1272" s="8"/>
      <c r="AT1272" s="8"/>
      <c r="AU1272" s="8"/>
      <c r="AV1272" s="8"/>
      <c r="AW1272" s="8"/>
      <c r="AX1272" s="8"/>
      <c r="AY1272" s="8"/>
      <c r="AZ1272" s="10"/>
    </row>
    <row r="1273" spans="2:52" x14ac:dyDescent="0.35">
      <c r="B1273" s="7"/>
      <c r="C1273" s="8"/>
      <c r="D1273" s="8"/>
      <c r="E1273" s="8"/>
      <c r="F1273" s="8"/>
      <c r="G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8"/>
      <c r="AM1273" s="8"/>
      <c r="AN1273" s="8"/>
      <c r="AO1273" s="8"/>
      <c r="AP1273" s="8"/>
      <c r="AQ1273" s="8"/>
      <c r="AR1273" s="8"/>
      <c r="AS1273" s="8"/>
      <c r="AT1273" s="8"/>
      <c r="AU1273" s="8"/>
      <c r="AV1273" s="8"/>
      <c r="AW1273" s="8"/>
      <c r="AX1273" s="8"/>
      <c r="AY1273" s="8"/>
      <c r="AZ1273" s="10"/>
    </row>
    <row r="1274" spans="2:52" x14ac:dyDescent="0.35">
      <c r="B1274" s="7"/>
      <c r="C1274" s="8"/>
      <c r="D1274" s="8"/>
      <c r="E1274" s="8"/>
      <c r="F1274" s="8"/>
      <c r="G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  <c r="AD1274" s="8"/>
      <c r="AE1274" s="8"/>
      <c r="AF1274" s="8"/>
      <c r="AG1274" s="8"/>
      <c r="AH1274" s="8"/>
      <c r="AI1274" s="8"/>
      <c r="AJ1274" s="8"/>
      <c r="AK1274" s="8"/>
      <c r="AL1274" s="8"/>
      <c r="AM1274" s="8"/>
      <c r="AN1274" s="8"/>
      <c r="AO1274" s="8"/>
      <c r="AP1274" s="8"/>
      <c r="AQ1274" s="8"/>
      <c r="AR1274" s="8"/>
      <c r="AS1274" s="8"/>
      <c r="AT1274" s="8"/>
      <c r="AU1274" s="8"/>
      <c r="AV1274" s="8"/>
      <c r="AW1274" s="8"/>
      <c r="AX1274" s="8"/>
      <c r="AY1274" s="8"/>
      <c r="AZ1274" s="10"/>
    </row>
    <row r="1275" spans="2:52" x14ac:dyDescent="0.35">
      <c r="B1275" s="7"/>
      <c r="C1275" s="8"/>
      <c r="D1275" s="8"/>
      <c r="E1275" s="8"/>
      <c r="F1275" s="8"/>
      <c r="G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  <c r="AD1275" s="8"/>
      <c r="AE1275" s="8"/>
      <c r="AF1275" s="8"/>
      <c r="AG1275" s="8"/>
      <c r="AH1275" s="8"/>
      <c r="AI1275" s="8"/>
      <c r="AJ1275" s="8"/>
      <c r="AK1275" s="8"/>
      <c r="AL1275" s="8"/>
      <c r="AM1275" s="8"/>
      <c r="AN1275" s="8"/>
      <c r="AO1275" s="8"/>
      <c r="AP1275" s="8"/>
      <c r="AQ1275" s="8"/>
      <c r="AR1275" s="8"/>
      <c r="AS1275" s="8"/>
      <c r="AT1275" s="8"/>
      <c r="AU1275" s="8"/>
      <c r="AV1275" s="8"/>
      <c r="AW1275" s="8"/>
      <c r="AX1275" s="8"/>
      <c r="AY1275" s="8"/>
      <c r="AZ1275" s="10"/>
    </row>
    <row r="1276" spans="2:52" x14ac:dyDescent="0.35">
      <c r="B1276" s="7"/>
      <c r="C1276" s="8"/>
      <c r="D1276" s="8"/>
      <c r="E1276" s="8"/>
      <c r="F1276" s="8"/>
      <c r="G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  <c r="AD1276" s="8"/>
      <c r="AE1276" s="8"/>
      <c r="AF1276" s="8"/>
      <c r="AG1276" s="8"/>
      <c r="AH1276" s="8"/>
      <c r="AI1276" s="8"/>
      <c r="AJ1276" s="8"/>
      <c r="AK1276" s="8"/>
      <c r="AL1276" s="8"/>
      <c r="AM1276" s="8"/>
      <c r="AN1276" s="8"/>
      <c r="AO1276" s="8"/>
      <c r="AP1276" s="8"/>
      <c r="AQ1276" s="8"/>
      <c r="AR1276" s="8"/>
      <c r="AS1276" s="8"/>
      <c r="AT1276" s="8"/>
      <c r="AU1276" s="8"/>
      <c r="AV1276" s="8"/>
      <c r="AW1276" s="8"/>
      <c r="AX1276" s="8"/>
      <c r="AY1276" s="8"/>
      <c r="AZ1276" s="10"/>
    </row>
    <row r="1277" spans="2:52" x14ac:dyDescent="0.35">
      <c r="B1277" s="7"/>
      <c r="C1277" s="8"/>
      <c r="D1277" s="8"/>
      <c r="E1277" s="8"/>
      <c r="F1277" s="8"/>
      <c r="G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  <c r="AD1277" s="8"/>
      <c r="AE1277" s="8"/>
      <c r="AF1277" s="8"/>
      <c r="AG1277" s="8"/>
      <c r="AH1277" s="8"/>
      <c r="AI1277" s="8"/>
      <c r="AJ1277" s="8"/>
      <c r="AK1277" s="8"/>
      <c r="AL1277" s="8"/>
      <c r="AM1277" s="8"/>
      <c r="AN1277" s="8"/>
      <c r="AO1277" s="8"/>
      <c r="AP1277" s="8"/>
      <c r="AQ1277" s="8"/>
      <c r="AR1277" s="8"/>
      <c r="AS1277" s="8"/>
      <c r="AT1277" s="8"/>
      <c r="AU1277" s="8"/>
      <c r="AV1277" s="8"/>
      <c r="AW1277" s="8"/>
      <c r="AX1277" s="8"/>
      <c r="AY1277" s="8"/>
      <c r="AZ1277" s="10"/>
    </row>
    <row r="1278" spans="2:52" x14ac:dyDescent="0.35">
      <c r="B1278" s="7"/>
      <c r="C1278" s="8"/>
      <c r="D1278" s="8"/>
      <c r="E1278" s="8"/>
      <c r="F1278" s="8"/>
      <c r="G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8"/>
      <c r="AM1278" s="8"/>
      <c r="AN1278" s="8"/>
      <c r="AO1278" s="8"/>
      <c r="AP1278" s="8"/>
      <c r="AQ1278" s="8"/>
      <c r="AR1278" s="8"/>
      <c r="AS1278" s="8"/>
      <c r="AT1278" s="8"/>
      <c r="AU1278" s="8"/>
      <c r="AV1278" s="8"/>
      <c r="AW1278" s="8"/>
      <c r="AX1278" s="8"/>
      <c r="AY1278" s="8"/>
      <c r="AZ1278" s="10"/>
    </row>
    <row r="1279" spans="2:52" x14ac:dyDescent="0.35">
      <c r="B1279" s="7"/>
      <c r="C1279" s="8"/>
      <c r="D1279" s="8"/>
      <c r="E1279" s="8"/>
      <c r="F1279" s="8"/>
      <c r="G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  <c r="AD1279" s="8"/>
      <c r="AE1279" s="8"/>
      <c r="AF1279" s="8"/>
      <c r="AG1279" s="8"/>
      <c r="AH1279" s="8"/>
      <c r="AI1279" s="8"/>
      <c r="AJ1279" s="8"/>
      <c r="AK1279" s="8"/>
      <c r="AL1279" s="8"/>
      <c r="AM1279" s="8"/>
      <c r="AN1279" s="8"/>
      <c r="AO1279" s="8"/>
      <c r="AP1279" s="8"/>
      <c r="AQ1279" s="8"/>
      <c r="AR1279" s="8"/>
      <c r="AS1279" s="8"/>
      <c r="AT1279" s="8"/>
      <c r="AU1279" s="8"/>
      <c r="AV1279" s="8"/>
      <c r="AW1279" s="8"/>
      <c r="AX1279" s="8"/>
      <c r="AY1279" s="8"/>
      <c r="AZ1279" s="10"/>
    </row>
    <row r="1280" spans="2:52" x14ac:dyDescent="0.35">
      <c r="B1280" s="7"/>
      <c r="C1280" s="8"/>
      <c r="D1280" s="8"/>
      <c r="E1280" s="8"/>
      <c r="F1280" s="8"/>
      <c r="G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  <c r="AD1280" s="8"/>
      <c r="AE1280" s="8"/>
      <c r="AF1280" s="8"/>
      <c r="AG1280" s="8"/>
      <c r="AH1280" s="8"/>
      <c r="AI1280" s="8"/>
      <c r="AJ1280" s="8"/>
      <c r="AK1280" s="8"/>
      <c r="AL1280" s="8"/>
      <c r="AM1280" s="8"/>
      <c r="AN1280" s="8"/>
      <c r="AO1280" s="8"/>
      <c r="AP1280" s="8"/>
      <c r="AQ1280" s="8"/>
      <c r="AR1280" s="8"/>
      <c r="AS1280" s="8"/>
      <c r="AT1280" s="8"/>
      <c r="AU1280" s="8"/>
      <c r="AV1280" s="8"/>
      <c r="AW1280" s="8"/>
      <c r="AX1280" s="8"/>
      <c r="AY1280" s="8"/>
      <c r="AZ1280" s="10"/>
    </row>
    <row r="1281" spans="2:52" x14ac:dyDescent="0.35">
      <c r="B1281" s="7"/>
      <c r="C1281" s="8"/>
      <c r="D1281" s="8"/>
      <c r="E1281" s="8"/>
      <c r="F1281" s="8"/>
      <c r="G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  <c r="AD1281" s="8"/>
      <c r="AE1281" s="8"/>
      <c r="AF1281" s="8"/>
      <c r="AG1281" s="8"/>
      <c r="AH1281" s="8"/>
      <c r="AI1281" s="8"/>
      <c r="AJ1281" s="8"/>
      <c r="AK1281" s="8"/>
      <c r="AL1281" s="8"/>
      <c r="AM1281" s="8"/>
      <c r="AN1281" s="8"/>
      <c r="AO1281" s="8"/>
      <c r="AP1281" s="8"/>
      <c r="AQ1281" s="8"/>
      <c r="AR1281" s="8"/>
      <c r="AS1281" s="8"/>
      <c r="AT1281" s="8"/>
      <c r="AU1281" s="8"/>
      <c r="AV1281" s="8"/>
      <c r="AW1281" s="8"/>
      <c r="AX1281" s="8"/>
      <c r="AY1281" s="8"/>
      <c r="AZ1281" s="10"/>
    </row>
    <row r="1282" spans="2:52" x14ac:dyDescent="0.35">
      <c r="B1282" s="7"/>
      <c r="C1282" s="8"/>
      <c r="D1282" s="8"/>
      <c r="E1282" s="8"/>
      <c r="F1282" s="8"/>
      <c r="G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8"/>
      <c r="AE1282" s="8"/>
      <c r="AF1282" s="8"/>
      <c r="AG1282" s="8"/>
      <c r="AH1282" s="8"/>
      <c r="AI1282" s="8"/>
      <c r="AJ1282" s="8"/>
      <c r="AK1282" s="8"/>
      <c r="AL1282" s="8"/>
      <c r="AM1282" s="8"/>
      <c r="AN1282" s="8"/>
      <c r="AO1282" s="8"/>
      <c r="AP1282" s="8"/>
      <c r="AQ1282" s="8"/>
      <c r="AR1282" s="8"/>
      <c r="AS1282" s="8"/>
      <c r="AT1282" s="8"/>
      <c r="AU1282" s="8"/>
      <c r="AV1282" s="8"/>
      <c r="AW1282" s="8"/>
      <c r="AX1282" s="8"/>
      <c r="AY1282" s="8"/>
      <c r="AZ1282" s="10"/>
    </row>
    <row r="1283" spans="2:52" x14ac:dyDescent="0.35">
      <c r="B1283" s="7"/>
      <c r="C1283" s="8"/>
      <c r="D1283" s="8"/>
      <c r="E1283" s="8"/>
      <c r="F1283" s="8"/>
      <c r="G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  <c r="AD1283" s="8"/>
      <c r="AE1283" s="8"/>
      <c r="AF1283" s="8"/>
      <c r="AG1283" s="8"/>
      <c r="AH1283" s="8"/>
      <c r="AI1283" s="8"/>
      <c r="AJ1283" s="8"/>
      <c r="AK1283" s="8"/>
      <c r="AL1283" s="8"/>
      <c r="AM1283" s="8"/>
      <c r="AN1283" s="8"/>
      <c r="AO1283" s="8"/>
      <c r="AP1283" s="8"/>
      <c r="AQ1283" s="8"/>
      <c r="AR1283" s="8"/>
      <c r="AS1283" s="8"/>
      <c r="AT1283" s="8"/>
      <c r="AU1283" s="8"/>
      <c r="AV1283" s="8"/>
      <c r="AW1283" s="8"/>
      <c r="AX1283" s="8"/>
      <c r="AY1283" s="8"/>
      <c r="AZ1283" s="10"/>
    </row>
    <row r="1284" spans="2:52" x14ac:dyDescent="0.35">
      <c r="B1284" s="7"/>
      <c r="C1284" s="8"/>
      <c r="D1284" s="8"/>
      <c r="E1284" s="8"/>
      <c r="F1284" s="8"/>
      <c r="G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  <c r="AD1284" s="8"/>
      <c r="AE1284" s="8"/>
      <c r="AF1284" s="8"/>
      <c r="AG1284" s="8"/>
      <c r="AH1284" s="8"/>
      <c r="AI1284" s="8"/>
      <c r="AJ1284" s="8"/>
      <c r="AK1284" s="8"/>
      <c r="AL1284" s="8"/>
      <c r="AM1284" s="8"/>
      <c r="AN1284" s="8"/>
      <c r="AO1284" s="8"/>
      <c r="AP1284" s="8"/>
      <c r="AQ1284" s="8"/>
      <c r="AR1284" s="8"/>
      <c r="AS1284" s="8"/>
      <c r="AT1284" s="8"/>
      <c r="AU1284" s="8"/>
      <c r="AV1284" s="8"/>
      <c r="AW1284" s="8"/>
      <c r="AX1284" s="8"/>
      <c r="AY1284" s="8"/>
      <c r="AZ1284" s="10"/>
    </row>
    <row r="1285" spans="2:52" x14ac:dyDescent="0.35">
      <c r="B1285" s="7"/>
      <c r="C1285" s="8"/>
      <c r="D1285" s="8"/>
      <c r="E1285" s="8"/>
      <c r="F1285" s="8"/>
      <c r="G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  <c r="AG1285" s="8"/>
      <c r="AH1285" s="8"/>
      <c r="AI1285" s="8"/>
      <c r="AJ1285" s="8"/>
      <c r="AK1285" s="8"/>
      <c r="AL1285" s="8"/>
      <c r="AM1285" s="8"/>
      <c r="AN1285" s="8"/>
      <c r="AO1285" s="8"/>
      <c r="AP1285" s="8"/>
      <c r="AQ1285" s="8"/>
      <c r="AR1285" s="8"/>
      <c r="AS1285" s="8"/>
      <c r="AT1285" s="8"/>
      <c r="AU1285" s="8"/>
      <c r="AV1285" s="8"/>
      <c r="AW1285" s="8"/>
      <c r="AX1285" s="8"/>
      <c r="AY1285" s="8"/>
      <c r="AZ1285" s="10"/>
    </row>
    <row r="1286" spans="2:52" x14ac:dyDescent="0.35">
      <c r="B1286" s="7"/>
      <c r="C1286" s="8"/>
      <c r="D1286" s="8"/>
      <c r="E1286" s="8"/>
      <c r="F1286" s="8"/>
      <c r="G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  <c r="AG1286" s="8"/>
      <c r="AH1286" s="8"/>
      <c r="AI1286" s="8"/>
      <c r="AJ1286" s="8"/>
      <c r="AK1286" s="8"/>
      <c r="AL1286" s="8"/>
      <c r="AM1286" s="8"/>
      <c r="AN1286" s="8"/>
      <c r="AO1286" s="8"/>
      <c r="AP1286" s="8"/>
      <c r="AQ1286" s="8"/>
      <c r="AR1286" s="8"/>
      <c r="AS1286" s="8"/>
      <c r="AT1286" s="8"/>
      <c r="AU1286" s="8"/>
      <c r="AV1286" s="8"/>
      <c r="AW1286" s="8"/>
      <c r="AX1286" s="8"/>
      <c r="AY1286" s="8"/>
      <c r="AZ1286" s="10"/>
    </row>
    <row r="1287" spans="2:52" x14ac:dyDescent="0.35">
      <c r="B1287" s="7"/>
      <c r="C1287" s="8"/>
      <c r="D1287" s="8"/>
      <c r="E1287" s="8"/>
      <c r="F1287" s="8"/>
      <c r="G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  <c r="AG1287" s="8"/>
      <c r="AH1287" s="8"/>
      <c r="AI1287" s="8"/>
      <c r="AJ1287" s="8"/>
      <c r="AK1287" s="8"/>
      <c r="AL1287" s="8"/>
      <c r="AM1287" s="8"/>
      <c r="AN1287" s="8"/>
      <c r="AO1287" s="8"/>
      <c r="AP1287" s="8"/>
      <c r="AQ1287" s="8"/>
      <c r="AR1287" s="8"/>
      <c r="AS1287" s="8"/>
      <c r="AT1287" s="8"/>
      <c r="AU1287" s="8"/>
      <c r="AV1287" s="8"/>
      <c r="AW1287" s="8"/>
      <c r="AX1287" s="8"/>
      <c r="AY1287" s="8"/>
      <c r="AZ1287" s="10"/>
    </row>
    <row r="1288" spans="2:52" x14ac:dyDescent="0.35">
      <c r="B1288" s="7"/>
      <c r="C1288" s="8"/>
      <c r="D1288" s="8"/>
      <c r="E1288" s="8"/>
      <c r="F1288" s="8"/>
      <c r="G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  <c r="AG1288" s="8"/>
      <c r="AH1288" s="8"/>
      <c r="AI1288" s="8"/>
      <c r="AJ1288" s="8"/>
      <c r="AK1288" s="8"/>
      <c r="AL1288" s="8"/>
      <c r="AM1288" s="8"/>
      <c r="AN1288" s="8"/>
      <c r="AO1288" s="8"/>
      <c r="AP1288" s="8"/>
      <c r="AQ1288" s="8"/>
      <c r="AR1288" s="8"/>
      <c r="AS1288" s="8"/>
      <c r="AT1288" s="8"/>
      <c r="AU1288" s="8"/>
      <c r="AV1288" s="8"/>
      <c r="AW1288" s="8"/>
      <c r="AX1288" s="8"/>
      <c r="AY1288" s="8"/>
      <c r="AZ1288" s="10"/>
    </row>
    <row r="1289" spans="2:52" x14ac:dyDescent="0.35">
      <c r="B1289" s="7"/>
      <c r="C1289" s="8"/>
      <c r="D1289" s="8"/>
      <c r="E1289" s="8"/>
      <c r="F1289" s="8"/>
      <c r="G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  <c r="AG1289" s="8"/>
      <c r="AH1289" s="8"/>
      <c r="AI1289" s="8"/>
      <c r="AJ1289" s="8"/>
      <c r="AK1289" s="8"/>
      <c r="AL1289" s="8"/>
      <c r="AM1289" s="8"/>
      <c r="AN1289" s="8"/>
      <c r="AO1289" s="8"/>
      <c r="AP1289" s="8"/>
      <c r="AQ1289" s="8"/>
      <c r="AR1289" s="8"/>
      <c r="AS1289" s="8"/>
      <c r="AT1289" s="8"/>
      <c r="AU1289" s="8"/>
      <c r="AV1289" s="8"/>
      <c r="AW1289" s="8"/>
      <c r="AX1289" s="8"/>
      <c r="AY1289" s="8"/>
      <c r="AZ1289" s="10"/>
    </row>
    <row r="1290" spans="2:52" x14ac:dyDescent="0.35">
      <c r="B1290" s="7"/>
      <c r="C1290" s="8"/>
      <c r="D1290" s="8"/>
      <c r="E1290" s="8"/>
      <c r="F1290" s="8"/>
      <c r="G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  <c r="AD1290" s="8"/>
      <c r="AE1290" s="8"/>
      <c r="AF1290" s="8"/>
      <c r="AG1290" s="8"/>
      <c r="AH1290" s="8"/>
      <c r="AI1290" s="8"/>
      <c r="AJ1290" s="8"/>
      <c r="AK1290" s="8"/>
      <c r="AL1290" s="8"/>
      <c r="AM1290" s="8"/>
      <c r="AN1290" s="8"/>
      <c r="AO1290" s="8"/>
      <c r="AP1290" s="8"/>
      <c r="AQ1290" s="8"/>
      <c r="AR1290" s="8"/>
      <c r="AS1290" s="8"/>
      <c r="AT1290" s="8"/>
      <c r="AU1290" s="8"/>
      <c r="AV1290" s="8"/>
      <c r="AW1290" s="8"/>
      <c r="AX1290" s="8"/>
      <c r="AY1290" s="8"/>
      <c r="AZ1290" s="10"/>
    </row>
    <row r="1291" spans="2:52" x14ac:dyDescent="0.35">
      <c r="B1291" s="7"/>
      <c r="C1291" s="8"/>
      <c r="D1291" s="8"/>
      <c r="E1291" s="8"/>
      <c r="F1291" s="8"/>
      <c r="G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  <c r="AD1291" s="8"/>
      <c r="AE1291" s="8"/>
      <c r="AF1291" s="8"/>
      <c r="AG1291" s="8"/>
      <c r="AH1291" s="8"/>
      <c r="AI1291" s="8"/>
      <c r="AJ1291" s="8"/>
      <c r="AK1291" s="8"/>
      <c r="AL1291" s="8"/>
      <c r="AM1291" s="8"/>
      <c r="AN1291" s="8"/>
      <c r="AO1291" s="8"/>
      <c r="AP1291" s="8"/>
      <c r="AQ1291" s="8"/>
      <c r="AR1291" s="8"/>
      <c r="AS1291" s="8"/>
      <c r="AT1291" s="8"/>
      <c r="AU1291" s="8"/>
      <c r="AV1291" s="8"/>
      <c r="AW1291" s="8"/>
      <c r="AX1291" s="8"/>
      <c r="AY1291" s="8"/>
      <c r="AZ1291" s="10"/>
    </row>
    <row r="1292" spans="2:52" x14ac:dyDescent="0.35">
      <c r="B1292" s="7"/>
      <c r="C1292" s="8"/>
      <c r="D1292" s="8"/>
      <c r="E1292" s="8"/>
      <c r="F1292" s="8"/>
      <c r="G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  <c r="AD1292" s="8"/>
      <c r="AE1292" s="8"/>
      <c r="AF1292" s="8"/>
      <c r="AG1292" s="8"/>
      <c r="AH1292" s="8"/>
      <c r="AI1292" s="8"/>
      <c r="AJ1292" s="8"/>
      <c r="AK1292" s="8"/>
      <c r="AL1292" s="8"/>
      <c r="AM1292" s="8"/>
      <c r="AN1292" s="8"/>
      <c r="AO1292" s="8"/>
      <c r="AP1292" s="8"/>
      <c r="AQ1292" s="8"/>
      <c r="AR1292" s="8"/>
      <c r="AS1292" s="8"/>
      <c r="AT1292" s="8"/>
      <c r="AU1292" s="8"/>
      <c r="AV1292" s="8"/>
      <c r="AW1292" s="8"/>
      <c r="AX1292" s="8"/>
      <c r="AY1292" s="8"/>
      <c r="AZ1292" s="10"/>
    </row>
    <row r="1293" spans="2:52" x14ac:dyDescent="0.35">
      <c r="B1293" s="7"/>
      <c r="C1293" s="8"/>
      <c r="D1293" s="8"/>
      <c r="E1293" s="8"/>
      <c r="F1293" s="8"/>
      <c r="G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  <c r="AD1293" s="8"/>
      <c r="AE1293" s="8"/>
      <c r="AF1293" s="8"/>
      <c r="AG1293" s="8"/>
      <c r="AH1293" s="8"/>
      <c r="AI1293" s="8"/>
      <c r="AJ1293" s="8"/>
      <c r="AK1293" s="8"/>
      <c r="AL1293" s="8"/>
      <c r="AM1293" s="8"/>
      <c r="AN1293" s="8"/>
      <c r="AO1293" s="8"/>
      <c r="AP1293" s="8"/>
      <c r="AQ1293" s="8"/>
      <c r="AR1293" s="8"/>
      <c r="AS1293" s="8"/>
      <c r="AT1293" s="8"/>
      <c r="AU1293" s="8"/>
      <c r="AV1293" s="8"/>
      <c r="AW1293" s="8"/>
      <c r="AX1293" s="8"/>
      <c r="AY1293" s="8"/>
      <c r="AZ1293" s="10"/>
    </row>
    <row r="1294" spans="2:52" x14ac:dyDescent="0.35">
      <c r="B1294" s="7"/>
      <c r="C1294" s="8"/>
      <c r="D1294" s="8"/>
      <c r="E1294" s="8"/>
      <c r="F1294" s="8"/>
      <c r="G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  <c r="AD1294" s="8"/>
      <c r="AE1294" s="8"/>
      <c r="AF1294" s="8"/>
      <c r="AG1294" s="8"/>
      <c r="AH1294" s="8"/>
      <c r="AI1294" s="8"/>
      <c r="AJ1294" s="8"/>
      <c r="AK1294" s="8"/>
      <c r="AL1294" s="8"/>
      <c r="AM1294" s="8"/>
      <c r="AN1294" s="8"/>
      <c r="AO1294" s="8"/>
      <c r="AP1294" s="8"/>
      <c r="AQ1294" s="8"/>
      <c r="AR1294" s="8"/>
      <c r="AS1294" s="8"/>
      <c r="AT1294" s="8"/>
      <c r="AU1294" s="8"/>
      <c r="AV1294" s="8"/>
      <c r="AW1294" s="8"/>
      <c r="AX1294" s="8"/>
      <c r="AY1294" s="8"/>
      <c r="AZ1294" s="10"/>
    </row>
    <row r="1295" spans="2:52" x14ac:dyDescent="0.35">
      <c r="B1295" s="7"/>
      <c r="C1295" s="8"/>
      <c r="D1295" s="8"/>
      <c r="E1295" s="8"/>
      <c r="F1295" s="8"/>
      <c r="G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  <c r="AD1295" s="8"/>
      <c r="AE1295" s="8"/>
      <c r="AF1295" s="8"/>
      <c r="AG1295" s="8"/>
      <c r="AH1295" s="8"/>
      <c r="AI1295" s="8"/>
      <c r="AJ1295" s="8"/>
      <c r="AK1295" s="8"/>
      <c r="AL1295" s="8"/>
      <c r="AM1295" s="8"/>
      <c r="AN1295" s="8"/>
      <c r="AO1295" s="8"/>
      <c r="AP1295" s="8"/>
      <c r="AQ1295" s="8"/>
      <c r="AR1295" s="8"/>
      <c r="AS1295" s="8"/>
      <c r="AT1295" s="8"/>
      <c r="AU1295" s="8"/>
      <c r="AV1295" s="8"/>
      <c r="AW1295" s="8"/>
      <c r="AX1295" s="8"/>
      <c r="AY1295" s="8"/>
      <c r="AZ1295" s="10"/>
    </row>
    <row r="1296" spans="2:52" x14ac:dyDescent="0.35">
      <c r="B1296" s="7"/>
      <c r="C1296" s="8"/>
      <c r="D1296" s="8"/>
      <c r="E1296" s="8"/>
      <c r="F1296" s="8"/>
      <c r="G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  <c r="AD1296" s="8"/>
      <c r="AE1296" s="8"/>
      <c r="AF1296" s="8"/>
      <c r="AG1296" s="8"/>
      <c r="AH1296" s="8"/>
      <c r="AI1296" s="8"/>
      <c r="AJ1296" s="8"/>
      <c r="AK1296" s="8"/>
      <c r="AL1296" s="8"/>
      <c r="AM1296" s="8"/>
      <c r="AN1296" s="8"/>
      <c r="AO1296" s="8"/>
      <c r="AP1296" s="8"/>
      <c r="AQ1296" s="8"/>
      <c r="AR1296" s="8"/>
      <c r="AS1296" s="8"/>
      <c r="AT1296" s="8"/>
      <c r="AU1296" s="8"/>
      <c r="AV1296" s="8"/>
      <c r="AW1296" s="8"/>
      <c r="AX1296" s="8"/>
      <c r="AY1296" s="8"/>
      <c r="AZ1296" s="10"/>
    </row>
    <row r="1297" spans="2:52" x14ac:dyDescent="0.35">
      <c r="B1297" s="7"/>
      <c r="C1297" s="8"/>
      <c r="D1297" s="8"/>
      <c r="E1297" s="8"/>
      <c r="F1297" s="8"/>
      <c r="G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  <c r="AD1297" s="8"/>
      <c r="AE1297" s="8"/>
      <c r="AF1297" s="8"/>
      <c r="AG1297" s="8"/>
      <c r="AH1297" s="8"/>
      <c r="AI1297" s="8"/>
      <c r="AJ1297" s="8"/>
      <c r="AK1297" s="8"/>
      <c r="AL1297" s="8"/>
      <c r="AM1297" s="8"/>
      <c r="AN1297" s="8"/>
      <c r="AO1297" s="8"/>
      <c r="AP1297" s="8"/>
      <c r="AQ1297" s="8"/>
      <c r="AR1297" s="8"/>
      <c r="AS1297" s="8"/>
      <c r="AT1297" s="8"/>
      <c r="AU1297" s="8"/>
      <c r="AV1297" s="8"/>
      <c r="AW1297" s="8"/>
      <c r="AX1297" s="8"/>
      <c r="AY1297" s="8"/>
      <c r="AZ1297" s="10"/>
    </row>
    <row r="1298" spans="2:52" x14ac:dyDescent="0.35">
      <c r="B1298" s="7"/>
      <c r="C1298" s="8"/>
      <c r="D1298" s="8"/>
      <c r="E1298" s="8"/>
      <c r="F1298" s="8"/>
      <c r="G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8"/>
      <c r="AE1298" s="8"/>
      <c r="AF1298" s="8"/>
      <c r="AG1298" s="8"/>
      <c r="AH1298" s="8"/>
      <c r="AI1298" s="8"/>
      <c r="AJ1298" s="8"/>
      <c r="AK1298" s="8"/>
      <c r="AL1298" s="8"/>
      <c r="AM1298" s="8"/>
      <c r="AN1298" s="8"/>
      <c r="AO1298" s="8"/>
      <c r="AP1298" s="8"/>
      <c r="AQ1298" s="8"/>
      <c r="AR1298" s="8"/>
      <c r="AS1298" s="8"/>
      <c r="AT1298" s="8"/>
      <c r="AU1298" s="8"/>
      <c r="AV1298" s="8"/>
      <c r="AW1298" s="8"/>
      <c r="AX1298" s="8"/>
      <c r="AY1298" s="8"/>
      <c r="AZ1298" s="10"/>
    </row>
    <row r="1299" spans="2:52" x14ac:dyDescent="0.35">
      <c r="B1299" s="7"/>
      <c r="C1299" s="8"/>
      <c r="D1299" s="8"/>
      <c r="E1299" s="8"/>
      <c r="F1299" s="8"/>
      <c r="G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8"/>
      <c r="AE1299" s="8"/>
      <c r="AF1299" s="8"/>
      <c r="AG1299" s="8"/>
      <c r="AH1299" s="8"/>
      <c r="AI1299" s="8"/>
      <c r="AJ1299" s="8"/>
      <c r="AK1299" s="8"/>
      <c r="AL1299" s="8"/>
      <c r="AM1299" s="8"/>
      <c r="AN1299" s="8"/>
      <c r="AO1299" s="8"/>
      <c r="AP1299" s="8"/>
      <c r="AQ1299" s="8"/>
      <c r="AR1299" s="8"/>
      <c r="AS1299" s="8"/>
      <c r="AT1299" s="8"/>
      <c r="AU1299" s="8"/>
      <c r="AV1299" s="8"/>
      <c r="AW1299" s="8"/>
      <c r="AX1299" s="8"/>
      <c r="AY1299" s="8"/>
      <c r="AZ1299" s="10"/>
    </row>
    <row r="1300" spans="2:52" x14ac:dyDescent="0.35">
      <c r="B1300" s="7"/>
      <c r="C1300" s="8"/>
      <c r="D1300" s="8"/>
      <c r="E1300" s="8"/>
      <c r="F1300" s="8"/>
      <c r="G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8"/>
      <c r="AM1300" s="8"/>
      <c r="AN1300" s="8"/>
      <c r="AO1300" s="8"/>
      <c r="AP1300" s="8"/>
      <c r="AQ1300" s="8"/>
      <c r="AR1300" s="8"/>
      <c r="AS1300" s="8"/>
      <c r="AT1300" s="8"/>
      <c r="AU1300" s="8"/>
      <c r="AV1300" s="8"/>
      <c r="AW1300" s="8"/>
      <c r="AX1300" s="8"/>
      <c r="AY1300" s="8"/>
      <c r="AZ1300" s="10"/>
    </row>
    <row r="1301" spans="2:52" x14ac:dyDescent="0.35">
      <c r="B1301" s="7"/>
      <c r="C1301" s="8"/>
      <c r="D1301" s="8"/>
      <c r="E1301" s="8"/>
      <c r="F1301" s="8"/>
      <c r="G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  <c r="AD1301" s="8"/>
      <c r="AE1301" s="8"/>
      <c r="AF1301" s="8"/>
      <c r="AG1301" s="8"/>
      <c r="AH1301" s="8"/>
      <c r="AI1301" s="8"/>
      <c r="AJ1301" s="8"/>
      <c r="AK1301" s="8"/>
      <c r="AL1301" s="8"/>
      <c r="AM1301" s="8"/>
      <c r="AN1301" s="8"/>
      <c r="AO1301" s="8"/>
      <c r="AP1301" s="8"/>
      <c r="AQ1301" s="8"/>
      <c r="AR1301" s="8"/>
      <c r="AS1301" s="8"/>
      <c r="AT1301" s="8"/>
      <c r="AU1301" s="8"/>
      <c r="AV1301" s="8"/>
      <c r="AW1301" s="8"/>
      <c r="AX1301" s="8"/>
      <c r="AY1301" s="8"/>
      <c r="AZ1301" s="10"/>
    </row>
    <row r="1302" spans="2:52" x14ac:dyDescent="0.35">
      <c r="B1302" s="7"/>
      <c r="C1302" s="8"/>
      <c r="D1302" s="8"/>
      <c r="E1302" s="8"/>
      <c r="F1302" s="8"/>
      <c r="G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  <c r="AD1302" s="8"/>
      <c r="AE1302" s="8"/>
      <c r="AF1302" s="8"/>
      <c r="AG1302" s="8"/>
      <c r="AH1302" s="8"/>
      <c r="AI1302" s="8"/>
      <c r="AJ1302" s="8"/>
      <c r="AK1302" s="8"/>
      <c r="AL1302" s="8"/>
      <c r="AM1302" s="8"/>
      <c r="AN1302" s="8"/>
      <c r="AO1302" s="8"/>
      <c r="AP1302" s="8"/>
      <c r="AQ1302" s="8"/>
      <c r="AR1302" s="8"/>
      <c r="AS1302" s="8"/>
      <c r="AT1302" s="8"/>
      <c r="AU1302" s="8"/>
      <c r="AV1302" s="8"/>
      <c r="AW1302" s="8"/>
      <c r="AX1302" s="8"/>
      <c r="AY1302" s="8"/>
      <c r="AZ1302" s="10"/>
    </row>
    <row r="1303" spans="2:52" x14ac:dyDescent="0.35">
      <c r="B1303" s="7"/>
      <c r="C1303" s="8"/>
      <c r="D1303" s="8"/>
      <c r="E1303" s="8"/>
      <c r="F1303" s="8"/>
      <c r="G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8"/>
      <c r="AM1303" s="8"/>
      <c r="AN1303" s="8"/>
      <c r="AO1303" s="8"/>
      <c r="AP1303" s="8"/>
      <c r="AQ1303" s="8"/>
      <c r="AR1303" s="8"/>
      <c r="AS1303" s="8"/>
      <c r="AT1303" s="8"/>
      <c r="AU1303" s="8"/>
      <c r="AV1303" s="8"/>
      <c r="AW1303" s="8"/>
      <c r="AX1303" s="8"/>
      <c r="AY1303" s="8"/>
      <c r="AZ1303" s="10"/>
    </row>
    <row r="1304" spans="2:52" x14ac:dyDescent="0.35">
      <c r="B1304" s="7"/>
      <c r="C1304" s="8"/>
      <c r="D1304" s="8"/>
      <c r="E1304" s="8"/>
      <c r="F1304" s="8"/>
      <c r="G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8"/>
      <c r="AM1304" s="8"/>
      <c r="AN1304" s="8"/>
      <c r="AO1304" s="8"/>
      <c r="AP1304" s="8"/>
      <c r="AQ1304" s="8"/>
      <c r="AR1304" s="8"/>
      <c r="AS1304" s="8"/>
      <c r="AT1304" s="8"/>
      <c r="AU1304" s="8"/>
      <c r="AV1304" s="8"/>
      <c r="AW1304" s="8"/>
      <c r="AX1304" s="8"/>
      <c r="AY1304" s="8"/>
      <c r="AZ1304" s="10"/>
    </row>
    <row r="1305" spans="2:52" x14ac:dyDescent="0.35">
      <c r="B1305" s="7"/>
      <c r="C1305" s="8"/>
      <c r="D1305" s="8"/>
      <c r="E1305" s="8"/>
      <c r="F1305" s="8"/>
      <c r="G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8"/>
      <c r="AM1305" s="8"/>
      <c r="AN1305" s="8"/>
      <c r="AO1305" s="8"/>
      <c r="AP1305" s="8"/>
      <c r="AQ1305" s="8"/>
      <c r="AR1305" s="8"/>
      <c r="AS1305" s="8"/>
      <c r="AT1305" s="8"/>
      <c r="AU1305" s="8"/>
      <c r="AV1305" s="8"/>
      <c r="AW1305" s="8"/>
      <c r="AX1305" s="8"/>
      <c r="AY1305" s="8"/>
      <c r="AZ1305" s="10"/>
    </row>
    <row r="1306" spans="2:52" x14ac:dyDescent="0.35">
      <c r="B1306" s="7"/>
      <c r="C1306" s="8"/>
      <c r="D1306" s="8"/>
      <c r="E1306" s="8"/>
      <c r="F1306" s="8"/>
      <c r="G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8"/>
      <c r="AM1306" s="8"/>
      <c r="AN1306" s="8"/>
      <c r="AO1306" s="8"/>
      <c r="AP1306" s="8"/>
      <c r="AQ1306" s="8"/>
      <c r="AR1306" s="8"/>
      <c r="AS1306" s="8"/>
      <c r="AT1306" s="8"/>
      <c r="AU1306" s="8"/>
      <c r="AV1306" s="8"/>
      <c r="AW1306" s="8"/>
      <c r="AX1306" s="8"/>
      <c r="AY1306" s="8"/>
      <c r="AZ1306" s="10"/>
    </row>
    <row r="1307" spans="2:52" x14ac:dyDescent="0.35">
      <c r="B1307" s="7"/>
      <c r="C1307" s="8"/>
      <c r="D1307" s="8"/>
      <c r="E1307" s="8"/>
      <c r="F1307" s="8"/>
      <c r="G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8"/>
      <c r="AM1307" s="8"/>
      <c r="AN1307" s="8"/>
      <c r="AO1307" s="8"/>
      <c r="AP1307" s="8"/>
      <c r="AQ1307" s="8"/>
      <c r="AR1307" s="8"/>
      <c r="AS1307" s="8"/>
      <c r="AT1307" s="8"/>
      <c r="AU1307" s="8"/>
      <c r="AV1307" s="8"/>
      <c r="AW1307" s="8"/>
      <c r="AX1307" s="8"/>
      <c r="AY1307" s="8"/>
      <c r="AZ1307" s="10"/>
    </row>
    <row r="1308" spans="2:52" x14ac:dyDescent="0.35">
      <c r="B1308" s="7"/>
      <c r="C1308" s="8"/>
      <c r="D1308" s="8"/>
      <c r="E1308" s="8"/>
      <c r="F1308" s="8"/>
      <c r="G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8"/>
      <c r="AM1308" s="8"/>
      <c r="AN1308" s="8"/>
      <c r="AO1308" s="8"/>
      <c r="AP1308" s="8"/>
      <c r="AQ1308" s="8"/>
      <c r="AR1308" s="8"/>
      <c r="AS1308" s="8"/>
      <c r="AT1308" s="8"/>
      <c r="AU1308" s="8"/>
      <c r="AV1308" s="8"/>
      <c r="AW1308" s="8"/>
      <c r="AX1308" s="8"/>
      <c r="AY1308" s="8"/>
      <c r="AZ1308" s="10"/>
    </row>
    <row r="1309" spans="2:52" x14ac:dyDescent="0.35">
      <c r="B1309" s="7"/>
      <c r="C1309" s="8"/>
      <c r="D1309" s="8"/>
      <c r="E1309" s="8"/>
      <c r="F1309" s="8"/>
      <c r="G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  <c r="AD1309" s="8"/>
      <c r="AE1309" s="8"/>
      <c r="AF1309" s="8"/>
      <c r="AG1309" s="8"/>
      <c r="AH1309" s="8"/>
      <c r="AI1309" s="8"/>
      <c r="AJ1309" s="8"/>
      <c r="AK1309" s="8"/>
      <c r="AL1309" s="8"/>
      <c r="AM1309" s="8"/>
      <c r="AN1309" s="8"/>
      <c r="AO1309" s="8"/>
      <c r="AP1309" s="8"/>
      <c r="AQ1309" s="8"/>
      <c r="AR1309" s="8"/>
      <c r="AS1309" s="8"/>
      <c r="AT1309" s="8"/>
      <c r="AU1309" s="8"/>
      <c r="AV1309" s="8"/>
      <c r="AW1309" s="8"/>
      <c r="AX1309" s="8"/>
      <c r="AY1309" s="8"/>
      <c r="AZ1309" s="10"/>
    </row>
    <row r="1310" spans="2:52" x14ac:dyDescent="0.35">
      <c r="B1310" s="7"/>
      <c r="C1310" s="8"/>
      <c r="D1310" s="8"/>
      <c r="E1310" s="8"/>
      <c r="F1310" s="8"/>
      <c r="G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8"/>
      <c r="AM1310" s="8"/>
      <c r="AN1310" s="8"/>
      <c r="AO1310" s="8"/>
      <c r="AP1310" s="8"/>
      <c r="AQ1310" s="8"/>
      <c r="AR1310" s="8"/>
      <c r="AS1310" s="8"/>
      <c r="AT1310" s="8"/>
      <c r="AU1310" s="8"/>
      <c r="AV1310" s="8"/>
      <c r="AW1310" s="8"/>
      <c r="AX1310" s="8"/>
      <c r="AY1310" s="8"/>
      <c r="AZ1310" s="10"/>
    </row>
    <row r="1311" spans="2:52" x14ac:dyDescent="0.35">
      <c r="B1311" s="7"/>
      <c r="C1311" s="8"/>
      <c r="D1311" s="8"/>
      <c r="E1311" s="8"/>
      <c r="F1311" s="8"/>
      <c r="G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  <c r="AD1311" s="8"/>
      <c r="AE1311" s="8"/>
      <c r="AF1311" s="8"/>
      <c r="AG1311" s="8"/>
      <c r="AH1311" s="8"/>
      <c r="AI1311" s="8"/>
      <c r="AJ1311" s="8"/>
      <c r="AK1311" s="8"/>
      <c r="AL1311" s="8"/>
      <c r="AM1311" s="8"/>
      <c r="AN1311" s="8"/>
      <c r="AO1311" s="8"/>
      <c r="AP1311" s="8"/>
      <c r="AQ1311" s="8"/>
      <c r="AR1311" s="8"/>
      <c r="AS1311" s="8"/>
      <c r="AT1311" s="8"/>
      <c r="AU1311" s="8"/>
      <c r="AV1311" s="8"/>
      <c r="AW1311" s="8"/>
      <c r="AX1311" s="8"/>
      <c r="AY1311" s="8"/>
      <c r="AZ1311" s="10"/>
    </row>
    <row r="1312" spans="2:52" x14ac:dyDescent="0.35">
      <c r="B1312" s="7"/>
      <c r="C1312" s="8"/>
      <c r="D1312" s="8"/>
      <c r="E1312" s="8"/>
      <c r="F1312" s="8"/>
      <c r="G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  <c r="AD1312" s="8"/>
      <c r="AE1312" s="8"/>
      <c r="AF1312" s="8"/>
      <c r="AG1312" s="8"/>
      <c r="AH1312" s="8"/>
      <c r="AI1312" s="8"/>
      <c r="AJ1312" s="8"/>
      <c r="AK1312" s="8"/>
      <c r="AL1312" s="8"/>
      <c r="AM1312" s="8"/>
      <c r="AN1312" s="8"/>
      <c r="AO1312" s="8"/>
      <c r="AP1312" s="8"/>
      <c r="AQ1312" s="8"/>
      <c r="AR1312" s="8"/>
      <c r="AS1312" s="8"/>
      <c r="AT1312" s="8"/>
      <c r="AU1312" s="8"/>
      <c r="AV1312" s="8"/>
      <c r="AW1312" s="8"/>
      <c r="AX1312" s="8"/>
      <c r="AY1312" s="8"/>
      <c r="AZ1312" s="10"/>
    </row>
    <row r="1313" spans="2:52" x14ac:dyDescent="0.35">
      <c r="B1313" s="7"/>
      <c r="C1313" s="8"/>
      <c r="D1313" s="8"/>
      <c r="E1313" s="8"/>
      <c r="F1313" s="8"/>
      <c r="G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  <c r="AD1313" s="8"/>
      <c r="AE1313" s="8"/>
      <c r="AF1313" s="8"/>
      <c r="AG1313" s="8"/>
      <c r="AH1313" s="8"/>
      <c r="AI1313" s="8"/>
      <c r="AJ1313" s="8"/>
      <c r="AK1313" s="8"/>
      <c r="AL1313" s="8"/>
      <c r="AM1313" s="8"/>
      <c r="AN1313" s="8"/>
      <c r="AO1313" s="8"/>
      <c r="AP1313" s="8"/>
      <c r="AQ1313" s="8"/>
      <c r="AR1313" s="8"/>
      <c r="AS1313" s="8"/>
      <c r="AT1313" s="8"/>
      <c r="AU1313" s="8"/>
      <c r="AV1313" s="8"/>
      <c r="AW1313" s="8"/>
      <c r="AX1313" s="8"/>
      <c r="AY1313" s="8"/>
      <c r="AZ1313" s="10"/>
    </row>
    <row r="1314" spans="2:52" x14ac:dyDescent="0.35">
      <c r="B1314" s="7"/>
      <c r="C1314" s="8"/>
      <c r="D1314" s="8"/>
      <c r="E1314" s="8"/>
      <c r="F1314" s="8"/>
      <c r="G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8"/>
      <c r="AM1314" s="8"/>
      <c r="AN1314" s="8"/>
      <c r="AO1314" s="8"/>
      <c r="AP1314" s="8"/>
      <c r="AQ1314" s="8"/>
      <c r="AR1314" s="8"/>
      <c r="AS1314" s="8"/>
      <c r="AT1314" s="8"/>
      <c r="AU1314" s="8"/>
      <c r="AV1314" s="8"/>
      <c r="AW1314" s="8"/>
      <c r="AX1314" s="8"/>
      <c r="AY1314" s="8"/>
      <c r="AZ1314" s="10"/>
    </row>
    <row r="1315" spans="2:52" x14ac:dyDescent="0.35">
      <c r="B1315" s="7"/>
      <c r="C1315" s="8"/>
      <c r="D1315" s="8"/>
      <c r="E1315" s="8"/>
      <c r="F1315" s="8"/>
      <c r="G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8"/>
      <c r="AM1315" s="8"/>
      <c r="AN1315" s="8"/>
      <c r="AO1315" s="8"/>
      <c r="AP1315" s="8"/>
      <c r="AQ1315" s="8"/>
      <c r="AR1315" s="8"/>
      <c r="AS1315" s="8"/>
      <c r="AT1315" s="8"/>
      <c r="AU1315" s="8"/>
      <c r="AV1315" s="8"/>
      <c r="AW1315" s="8"/>
      <c r="AX1315" s="8"/>
      <c r="AY1315" s="8"/>
      <c r="AZ1315" s="10"/>
    </row>
    <row r="1316" spans="2:52" x14ac:dyDescent="0.35">
      <c r="B1316" s="7"/>
      <c r="C1316" s="8"/>
      <c r="D1316" s="8"/>
      <c r="E1316" s="8"/>
      <c r="F1316" s="8"/>
      <c r="G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8"/>
      <c r="AM1316" s="8"/>
      <c r="AN1316" s="8"/>
      <c r="AO1316" s="8"/>
      <c r="AP1316" s="8"/>
      <c r="AQ1316" s="8"/>
      <c r="AR1316" s="8"/>
      <c r="AS1316" s="8"/>
      <c r="AT1316" s="8"/>
      <c r="AU1316" s="8"/>
      <c r="AV1316" s="8"/>
      <c r="AW1316" s="8"/>
      <c r="AX1316" s="8"/>
      <c r="AY1316" s="8"/>
      <c r="AZ1316" s="10"/>
    </row>
    <row r="1317" spans="2:52" x14ac:dyDescent="0.35">
      <c r="B1317" s="7"/>
      <c r="C1317" s="8"/>
      <c r="D1317" s="8"/>
      <c r="E1317" s="8"/>
      <c r="F1317" s="8"/>
      <c r="G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  <c r="AD1317" s="8"/>
      <c r="AE1317" s="8"/>
      <c r="AF1317" s="8"/>
      <c r="AG1317" s="8"/>
      <c r="AH1317" s="8"/>
      <c r="AI1317" s="8"/>
      <c r="AJ1317" s="8"/>
      <c r="AK1317" s="8"/>
      <c r="AL1317" s="8"/>
      <c r="AM1317" s="8"/>
      <c r="AN1317" s="8"/>
      <c r="AO1317" s="8"/>
      <c r="AP1317" s="8"/>
      <c r="AQ1317" s="8"/>
      <c r="AR1317" s="8"/>
      <c r="AS1317" s="8"/>
      <c r="AT1317" s="8"/>
      <c r="AU1317" s="8"/>
      <c r="AV1317" s="8"/>
      <c r="AW1317" s="8"/>
      <c r="AX1317" s="8"/>
      <c r="AY1317" s="8"/>
      <c r="AZ1317" s="10"/>
    </row>
    <row r="1318" spans="2:52" x14ac:dyDescent="0.35">
      <c r="B1318" s="7"/>
      <c r="C1318" s="8"/>
      <c r="D1318" s="8"/>
      <c r="E1318" s="8"/>
      <c r="F1318" s="8"/>
      <c r="G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8"/>
      <c r="AE1318" s="8"/>
      <c r="AF1318" s="8"/>
      <c r="AG1318" s="8"/>
      <c r="AH1318" s="8"/>
      <c r="AI1318" s="8"/>
      <c r="AJ1318" s="8"/>
      <c r="AK1318" s="8"/>
      <c r="AL1318" s="8"/>
      <c r="AM1318" s="8"/>
      <c r="AN1318" s="8"/>
      <c r="AO1318" s="8"/>
      <c r="AP1318" s="8"/>
      <c r="AQ1318" s="8"/>
      <c r="AR1318" s="8"/>
      <c r="AS1318" s="8"/>
      <c r="AT1318" s="8"/>
      <c r="AU1318" s="8"/>
      <c r="AV1318" s="8"/>
      <c r="AW1318" s="8"/>
      <c r="AX1318" s="8"/>
      <c r="AY1318" s="8"/>
      <c r="AZ1318" s="10"/>
    </row>
    <row r="1319" spans="2:52" x14ac:dyDescent="0.35">
      <c r="B1319" s="7"/>
      <c r="C1319" s="8"/>
      <c r="D1319" s="8"/>
      <c r="E1319" s="8"/>
      <c r="F1319" s="8"/>
      <c r="G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8"/>
      <c r="AM1319" s="8"/>
      <c r="AN1319" s="8"/>
      <c r="AO1319" s="8"/>
      <c r="AP1319" s="8"/>
      <c r="AQ1319" s="8"/>
      <c r="AR1319" s="8"/>
      <c r="AS1319" s="8"/>
      <c r="AT1319" s="8"/>
      <c r="AU1319" s="8"/>
      <c r="AV1319" s="8"/>
      <c r="AW1319" s="8"/>
      <c r="AX1319" s="8"/>
      <c r="AY1319" s="8"/>
      <c r="AZ1319" s="10"/>
    </row>
    <row r="1320" spans="2:52" x14ac:dyDescent="0.35">
      <c r="B1320" s="7"/>
      <c r="C1320" s="8"/>
      <c r="D1320" s="8"/>
      <c r="E1320" s="8"/>
      <c r="F1320" s="8"/>
      <c r="G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  <c r="AD1320" s="8"/>
      <c r="AE1320" s="8"/>
      <c r="AF1320" s="8"/>
      <c r="AG1320" s="8"/>
      <c r="AH1320" s="8"/>
      <c r="AI1320" s="8"/>
      <c r="AJ1320" s="8"/>
      <c r="AK1320" s="8"/>
      <c r="AL1320" s="8"/>
      <c r="AM1320" s="8"/>
      <c r="AN1320" s="8"/>
      <c r="AO1320" s="8"/>
      <c r="AP1320" s="8"/>
      <c r="AQ1320" s="8"/>
      <c r="AR1320" s="8"/>
      <c r="AS1320" s="8"/>
      <c r="AT1320" s="8"/>
      <c r="AU1320" s="8"/>
      <c r="AV1320" s="8"/>
      <c r="AW1320" s="8"/>
      <c r="AX1320" s="8"/>
      <c r="AY1320" s="8"/>
      <c r="AZ1320" s="10"/>
    </row>
    <row r="1321" spans="2:52" x14ac:dyDescent="0.35">
      <c r="B1321" s="7"/>
      <c r="C1321" s="8"/>
      <c r="D1321" s="8"/>
      <c r="E1321" s="8"/>
      <c r="F1321" s="8"/>
      <c r="G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8"/>
      <c r="AW1321" s="8"/>
      <c r="AX1321" s="8"/>
      <c r="AY1321" s="8"/>
      <c r="AZ1321" s="10"/>
    </row>
    <row r="1322" spans="2:52" x14ac:dyDescent="0.35">
      <c r="B1322" s="7"/>
      <c r="C1322" s="8"/>
      <c r="D1322" s="8"/>
      <c r="E1322" s="8"/>
      <c r="F1322" s="8"/>
      <c r="G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8"/>
      <c r="AW1322" s="8"/>
      <c r="AX1322" s="8"/>
      <c r="AY1322" s="8"/>
      <c r="AZ1322" s="10"/>
    </row>
    <row r="1323" spans="2:52" x14ac:dyDescent="0.35">
      <c r="B1323" s="7"/>
      <c r="C1323" s="8"/>
      <c r="D1323" s="8"/>
      <c r="E1323" s="8"/>
      <c r="F1323" s="8"/>
      <c r="G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  <c r="AG1323" s="8"/>
      <c r="AH1323" s="8"/>
      <c r="AI1323" s="8"/>
      <c r="AJ1323" s="8"/>
      <c r="AK1323" s="8"/>
      <c r="AL1323" s="8"/>
      <c r="AM1323" s="8"/>
      <c r="AN1323" s="8"/>
      <c r="AO1323" s="8"/>
      <c r="AP1323" s="8"/>
      <c r="AQ1323" s="8"/>
      <c r="AR1323" s="8"/>
      <c r="AS1323" s="8"/>
      <c r="AT1323" s="8"/>
      <c r="AU1323" s="8"/>
      <c r="AV1323" s="8"/>
      <c r="AW1323" s="8"/>
      <c r="AX1323" s="8"/>
      <c r="AY1323" s="8"/>
      <c r="AZ1323" s="10"/>
    </row>
    <row r="1324" spans="2:52" x14ac:dyDescent="0.35">
      <c r="B1324" s="7"/>
      <c r="C1324" s="8"/>
      <c r="D1324" s="8"/>
      <c r="E1324" s="8"/>
      <c r="F1324" s="8"/>
      <c r="G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8"/>
      <c r="AM1324" s="8"/>
      <c r="AN1324" s="8"/>
      <c r="AO1324" s="8"/>
      <c r="AP1324" s="8"/>
      <c r="AQ1324" s="8"/>
      <c r="AR1324" s="8"/>
      <c r="AS1324" s="8"/>
      <c r="AT1324" s="8"/>
      <c r="AU1324" s="8"/>
      <c r="AV1324" s="8"/>
      <c r="AW1324" s="8"/>
      <c r="AX1324" s="8"/>
      <c r="AY1324" s="8"/>
      <c r="AZ1324" s="10"/>
    </row>
    <row r="1325" spans="2:52" x14ac:dyDescent="0.35">
      <c r="B1325" s="7"/>
      <c r="C1325" s="8"/>
      <c r="D1325" s="8"/>
      <c r="E1325" s="8"/>
      <c r="F1325" s="8"/>
      <c r="G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8"/>
      <c r="AM1325" s="8"/>
      <c r="AN1325" s="8"/>
      <c r="AO1325" s="8"/>
      <c r="AP1325" s="8"/>
      <c r="AQ1325" s="8"/>
      <c r="AR1325" s="8"/>
      <c r="AS1325" s="8"/>
      <c r="AT1325" s="8"/>
      <c r="AU1325" s="8"/>
      <c r="AV1325" s="8"/>
      <c r="AW1325" s="8"/>
      <c r="AX1325" s="8"/>
      <c r="AY1325" s="8"/>
      <c r="AZ1325" s="10"/>
    </row>
    <row r="1326" spans="2:52" x14ac:dyDescent="0.35">
      <c r="B1326" s="7"/>
      <c r="C1326" s="8"/>
      <c r="D1326" s="8"/>
      <c r="E1326" s="8"/>
      <c r="F1326" s="8"/>
      <c r="G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  <c r="AD1326" s="8"/>
      <c r="AE1326" s="8"/>
      <c r="AF1326" s="8"/>
      <c r="AG1326" s="8"/>
      <c r="AH1326" s="8"/>
      <c r="AI1326" s="8"/>
      <c r="AJ1326" s="8"/>
      <c r="AK1326" s="8"/>
      <c r="AL1326" s="8"/>
      <c r="AM1326" s="8"/>
      <c r="AN1326" s="8"/>
      <c r="AO1326" s="8"/>
      <c r="AP1326" s="8"/>
      <c r="AQ1326" s="8"/>
      <c r="AR1326" s="8"/>
      <c r="AS1326" s="8"/>
      <c r="AT1326" s="8"/>
      <c r="AU1326" s="8"/>
      <c r="AV1326" s="8"/>
      <c r="AW1326" s="8"/>
      <c r="AX1326" s="8"/>
      <c r="AY1326" s="8"/>
      <c r="AZ1326" s="10"/>
    </row>
    <row r="1327" spans="2:52" x14ac:dyDescent="0.35">
      <c r="B1327" s="7"/>
      <c r="C1327" s="8"/>
      <c r="D1327" s="8"/>
      <c r="E1327" s="8"/>
      <c r="F1327" s="8"/>
      <c r="G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8"/>
      <c r="AM1327" s="8"/>
      <c r="AN1327" s="8"/>
      <c r="AO1327" s="8"/>
      <c r="AP1327" s="8"/>
      <c r="AQ1327" s="8"/>
      <c r="AR1327" s="8"/>
      <c r="AS1327" s="8"/>
      <c r="AT1327" s="8"/>
      <c r="AU1327" s="8"/>
      <c r="AV1327" s="8"/>
      <c r="AW1327" s="8"/>
      <c r="AX1327" s="8"/>
      <c r="AY1327" s="8"/>
      <c r="AZ1327" s="10"/>
    </row>
    <row r="1328" spans="2:52" x14ac:dyDescent="0.35">
      <c r="B1328" s="7"/>
      <c r="C1328" s="8"/>
      <c r="D1328" s="8"/>
      <c r="E1328" s="8"/>
      <c r="F1328" s="8"/>
      <c r="G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  <c r="AD1328" s="8"/>
      <c r="AE1328" s="8"/>
      <c r="AF1328" s="8"/>
      <c r="AG1328" s="8"/>
      <c r="AH1328" s="8"/>
      <c r="AI1328" s="8"/>
      <c r="AJ1328" s="8"/>
      <c r="AK1328" s="8"/>
      <c r="AL1328" s="8"/>
      <c r="AM1328" s="8"/>
      <c r="AN1328" s="8"/>
      <c r="AO1328" s="8"/>
      <c r="AP1328" s="8"/>
      <c r="AQ1328" s="8"/>
      <c r="AR1328" s="8"/>
      <c r="AS1328" s="8"/>
      <c r="AT1328" s="8"/>
      <c r="AU1328" s="8"/>
      <c r="AV1328" s="8"/>
      <c r="AW1328" s="8"/>
      <c r="AX1328" s="8"/>
      <c r="AY1328" s="8"/>
      <c r="AZ1328" s="10"/>
    </row>
    <row r="1329" spans="2:52" x14ac:dyDescent="0.35">
      <c r="B1329" s="7"/>
      <c r="C1329" s="8"/>
      <c r="D1329" s="8"/>
      <c r="E1329" s="8"/>
      <c r="F1329" s="8"/>
      <c r="G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  <c r="AD1329" s="8"/>
      <c r="AE1329" s="8"/>
      <c r="AF1329" s="8"/>
      <c r="AG1329" s="8"/>
      <c r="AH1329" s="8"/>
      <c r="AI1329" s="8"/>
      <c r="AJ1329" s="8"/>
      <c r="AK1329" s="8"/>
      <c r="AL1329" s="8"/>
      <c r="AM1329" s="8"/>
      <c r="AN1329" s="8"/>
      <c r="AO1329" s="8"/>
      <c r="AP1329" s="8"/>
      <c r="AQ1329" s="8"/>
      <c r="AR1329" s="8"/>
      <c r="AS1329" s="8"/>
      <c r="AT1329" s="8"/>
      <c r="AU1329" s="8"/>
      <c r="AV1329" s="8"/>
      <c r="AW1329" s="8"/>
      <c r="AX1329" s="8"/>
      <c r="AY1329" s="8"/>
      <c r="AZ1329" s="10"/>
    </row>
    <row r="1330" spans="2:52" x14ac:dyDescent="0.35">
      <c r="B1330" s="7"/>
      <c r="C1330" s="8"/>
      <c r="D1330" s="8"/>
      <c r="E1330" s="8"/>
      <c r="F1330" s="8"/>
      <c r="G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8"/>
      <c r="AM1330" s="8"/>
      <c r="AN1330" s="8"/>
      <c r="AO1330" s="8"/>
      <c r="AP1330" s="8"/>
      <c r="AQ1330" s="8"/>
      <c r="AR1330" s="8"/>
      <c r="AS1330" s="8"/>
      <c r="AT1330" s="8"/>
      <c r="AU1330" s="8"/>
      <c r="AV1330" s="8"/>
      <c r="AW1330" s="8"/>
      <c r="AX1330" s="8"/>
      <c r="AY1330" s="8"/>
      <c r="AZ1330" s="10"/>
    </row>
    <row r="1331" spans="2:52" x14ac:dyDescent="0.35">
      <c r="B1331" s="7"/>
      <c r="C1331" s="8"/>
      <c r="D1331" s="8"/>
      <c r="E1331" s="8"/>
      <c r="F1331" s="8"/>
      <c r="G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  <c r="AD1331" s="8"/>
      <c r="AE1331" s="8"/>
      <c r="AF1331" s="8"/>
      <c r="AG1331" s="8"/>
      <c r="AH1331" s="8"/>
      <c r="AI1331" s="8"/>
      <c r="AJ1331" s="8"/>
      <c r="AK1331" s="8"/>
      <c r="AL1331" s="8"/>
      <c r="AM1331" s="8"/>
      <c r="AN1331" s="8"/>
      <c r="AO1331" s="8"/>
      <c r="AP1331" s="8"/>
      <c r="AQ1331" s="8"/>
      <c r="AR1331" s="8"/>
      <c r="AS1331" s="8"/>
      <c r="AT1331" s="8"/>
      <c r="AU1331" s="8"/>
      <c r="AV1331" s="8"/>
      <c r="AW1331" s="8"/>
      <c r="AX1331" s="8"/>
      <c r="AY1331" s="8"/>
      <c r="AZ1331" s="10"/>
    </row>
    <row r="1332" spans="2:52" x14ac:dyDescent="0.35">
      <c r="B1332" s="7"/>
      <c r="C1332" s="8"/>
      <c r="D1332" s="8"/>
      <c r="E1332" s="8"/>
      <c r="F1332" s="8"/>
      <c r="G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8"/>
      <c r="AM1332" s="8"/>
      <c r="AN1332" s="8"/>
      <c r="AO1332" s="8"/>
      <c r="AP1332" s="8"/>
      <c r="AQ1332" s="8"/>
      <c r="AR1332" s="8"/>
      <c r="AS1332" s="8"/>
      <c r="AT1332" s="8"/>
      <c r="AU1332" s="8"/>
      <c r="AV1332" s="8"/>
      <c r="AW1332" s="8"/>
      <c r="AX1332" s="8"/>
      <c r="AY1332" s="8"/>
      <c r="AZ1332" s="10"/>
    </row>
    <row r="1333" spans="2:52" x14ac:dyDescent="0.35">
      <c r="B1333" s="7"/>
      <c r="C1333" s="8"/>
      <c r="D1333" s="8"/>
      <c r="E1333" s="8"/>
      <c r="F1333" s="8"/>
      <c r="G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8"/>
      <c r="AM1333" s="8"/>
      <c r="AN1333" s="8"/>
      <c r="AO1333" s="8"/>
      <c r="AP1333" s="8"/>
      <c r="AQ1333" s="8"/>
      <c r="AR1333" s="8"/>
      <c r="AS1333" s="8"/>
      <c r="AT1333" s="8"/>
      <c r="AU1333" s="8"/>
      <c r="AV1333" s="8"/>
      <c r="AW1333" s="8"/>
      <c r="AX1333" s="8"/>
      <c r="AY1333" s="8"/>
      <c r="AZ1333" s="10"/>
    </row>
    <row r="1334" spans="2:52" x14ac:dyDescent="0.35">
      <c r="B1334" s="7"/>
      <c r="C1334" s="8"/>
      <c r="D1334" s="8"/>
      <c r="E1334" s="8"/>
      <c r="F1334" s="8"/>
      <c r="G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8"/>
      <c r="AM1334" s="8"/>
      <c r="AN1334" s="8"/>
      <c r="AO1334" s="8"/>
      <c r="AP1334" s="8"/>
      <c r="AQ1334" s="8"/>
      <c r="AR1334" s="8"/>
      <c r="AS1334" s="8"/>
      <c r="AT1334" s="8"/>
      <c r="AU1334" s="8"/>
      <c r="AV1334" s="8"/>
      <c r="AW1334" s="8"/>
      <c r="AX1334" s="8"/>
      <c r="AY1334" s="8"/>
      <c r="AZ1334" s="10"/>
    </row>
    <row r="1335" spans="2:52" x14ac:dyDescent="0.35">
      <c r="B1335" s="7"/>
      <c r="C1335" s="8"/>
      <c r="D1335" s="8"/>
      <c r="E1335" s="8"/>
      <c r="F1335" s="8"/>
      <c r="G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8"/>
      <c r="AE1335" s="8"/>
      <c r="AF1335" s="8"/>
      <c r="AG1335" s="8"/>
      <c r="AH1335" s="8"/>
      <c r="AI1335" s="8"/>
      <c r="AJ1335" s="8"/>
      <c r="AK1335" s="8"/>
      <c r="AL1335" s="8"/>
      <c r="AM1335" s="8"/>
      <c r="AN1335" s="8"/>
      <c r="AO1335" s="8"/>
      <c r="AP1335" s="8"/>
      <c r="AQ1335" s="8"/>
      <c r="AR1335" s="8"/>
      <c r="AS1335" s="8"/>
      <c r="AT1335" s="8"/>
      <c r="AU1335" s="8"/>
      <c r="AV1335" s="8"/>
      <c r="AW1335" s="8"/>
      <c r="AX1335" s="8"/>
      <c r="AY1335" s="8"/>
      <c r="AZ1335" s="10"/>
    </row>
    <row r="1336" spans="2:52" x14ac:dyDescent="0.35">
      <c r="B1336" s="7"/>
      <c r="C1336" s="8"/>
      <c r="D1336" s="8"/>
      <c r="E1336" s="8"/>
      <c r="F1336" s="8"/>
      <c r="G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8"/>
      <c r="AE1336" s="8"/>
      <c r="AF1336" s="8"/>
      <c r="AG1336" s="8"/>
      <c r="AH1336" s="8"/>
      <c r="AI1336" s="8"/>
      <c r="AJ1336" s="8"/>
      <c r="AK1336" s="8"/>
      <c r="AL1336" s="8"/>
      <c r="AM1336" s="8"/>
      <c r="AN1336" s="8"/>
      <c r="AO1336" s="8"/>
      <c r="AP1336" s="8"/>
      <c r="AQ1336" s="8"/>
      <c r="AR1336" s="8"/>
      <c r="AS1336" s="8"/>
      <c r="AT1336" s="8"/>
      <c r="AU1336" s="8"/>
      <c r="AV1336" s="8"/>
      <c r="AW1336" s="8"/>
      <c r="AX1336" s="8"/>
      <c r="AY1336" s="8"/>
      <c r="AZ1336" s="10"/>
    </row>
    <row r="1337" spans="2:52" x14ac:dyDescent="0.35">
      <c r="B1337" s="7"/>
      <c r="C1337" s="8"/>
      <c r="D1337" s="8"/>
      <c r="E1337" s="8"/>
      <c r="F1337" s="8"/>
      <c r="G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  <c r="AD1337" s="8"/>
      <c r="AE1337" s="8"/>
      <c r="AF1337" s="8"/>
      <c r="AG1337" s="8"/>
      <c r="AH1337" s="8"/>
      <c r="AI1337" s="8"/>
      <c r="AJ1337" s="8"/>
      <c r="AK1337" s="8"/>
      <c r="AL1337" s="8"/>
      <c r="AM1337" s="8"/>
      <c r="AN1337" s="8"/>
      <c r="AO1337" s="8"/>
      <c r="AP1337" s="8"/>
      <c r="AQ1337" s="8"/>
      <c r="AR1337" s="8"/>
      <c r="AS1337" s="8"/>
      <c r="AT1337" s="8"/>
      <c r="AU1337" s="8"/>
      <c r="AV1337" s="8"/>
      <c r="AW1337" s="8"/>
      <c r="AX1337" s="8"/>
      <c r="AY1337" s="8"/>
      <c r="AZ1337" s="10"/>
    </row>
    <row r="1338" spans="2:52" x14ac:dyDescent="0.35">
      <c r="B1338" s="7"/>
      <c r="C1338" s="8"/>
      <c r="D1338" s="8"/>
      <c r="E1338" s="8"/>
      <c r="F1338" s="8"/>
      <c r="G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8"/>
      <c r="AD1338" s="8"/>
      <c r="AE1338" s="8"/>
      <c r="AF1338" s="8"/>
      <c r="AG1338" s="8"/>
      <c r="AH1338" s="8"/>
      <c r="AI1338" s="8"/>
      <c r="AJ1338" s="8"/>
      <c r="AK1338" s="8"/>
      <c r="AL1338" s="8"/>
      <c r="AM1338" s="8"/>
      <c r="AN1338" s="8"/>
      <c r="AO1338" s="8"/>
      <c r="AP1338" s="8"/>
      <c r="AQ1338" s="8"/>
      <c r="AR1338" s="8"/>
      <c r="AS1338" s="8"/>
      <c r="AT1338" s="8"/>
      <c r="AU1338" s="8"/>
      <c r="AV1338" s="8"/>
      <c r="AW1338" s="8"/>
      <c r="AX1338" s="8"/>
      <c r="AY1338" s="8"/>
      <c r="AZ1338" s="10"/>
    </row>
    <row r="1339" spans="2:52" x14ac:dyDescent="0.35">
      <c r="B1339" s="7"/>
      <c r="C1339" s="8"/>
      <c r="D1339" s="8"/>
      <c r="E1339" s="8"/>
      <c r="F1339" s="8"/>
      <c r="G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  <c r="AD1339" s="8"/>
      <c r="AE1339" s="8"/>
      <c r="AF1339" s="8"/>
      <c r="AG1339" s="8"/>
      <c r="AH1339" s="8"/>
      <c r="AI1339" s="8"/>
      <c r="AJ1339" s="8"/>
      <c r="AK1339" s="8"/>
      <c r="AL1339" s="8"/>
      <c r="AM1339" s="8"/>
      <c r="AN1339" s="8"/>
      <c r="AO1339" s="8"/>
      <c r="AP1339" s="8"/>
      <c r="AQ1339" s="8"/>
      <c r="AR1339" s="8"/>
      <c r="AS1339" s="8"/>
      <c r="AT1339" s="8"/>
      <c r="AU1339" s="8"/>
      <c r="AV1339" s="8"/>
      <c r="AW1339" s="8"/>
      <c r="AX1339" s="8"/>
      <c r="AY1339" s="8"/>
      <c r="AZ1339" s="10"/>
    </row>
    <row r="1340" spans="2:52" x14ac:dyDescent="0.35">
      <c r="B1340" s="7"/>
      <c r="C1340" s="8"/>
      <c r="D1340" s="8"/>
      <c r="E1340" s="8"/>
      <c r="F1340" s="8"/>
      <c r="G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8"/>
      <c r="AE1340" s="8"/>
      <c r="AF1340" s="8"/>
      <c r="AG1340" s="8"/>
      <c r="AH1340" s="8"/>
      <c r="AI1340" s="8"/>
      <c r="AJ1340" s="8"/>
      <c r="AK1340" s="8"/>
      <c r="AL1340" s="8"/>
      <c r="AM1340" s="8"/>
      <c r="AN1340" s="8"/>
      <c r="AO1340" s="8"/>
      <c r="AP1340" s="8"/>
      <c r="AQ1340" s="8"/>
      <c r="AR1340" s="8"/>
      <c r="AS1340" s="8"/>
      <c r="AT1340" s="8"/>
      <c r="AU1340" s="8"/>
      <c r="AV1340" s="8"/>
      <c r="AW1340" s="8"/>
      <c r="AX1340" s="8"/>
      <c r="AY1340" s="8"/>
      <c r="AZ1340" s="10"/>
    </row>
    <row r="1341" spans="2:52" x14ac:dyDescent="0.35">
      <c r="B1341" s="7"/>
      <c r="C1341" s="8"/>
      <c r="D1341" s="8"/>
      <c r="E1341" s="8"/>
      <c r="F1341" s="8"/>
      <c r="G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8"/>
      <c r="AE1341" s="8"/>
      <c r="AF1341" s="8"/>
      <c r="AG1341" s="8"/>
      <c r="AH1341" s="8"/>
      <c r="AI1341" s="8"/>
      <c r="AJ1341" s="8"/>
      <c r="AK1341" s="8"/>
      <c r="AL1341" s="8"/>
      <c r="AM1341" s="8"/>
      <c r="AN1341" s="8"/>
      <c r="AO1341" s="8"/>
      <c r="AP1341" s="8"/>
      <c r="AQ1341" s="8"/>
      <c r="AR1341" s="8"/>
      <c r="AS1341" s="8"/>
      <c r="AT1341" s="8"/>
      <c r="AU1341" s="8"/>
      <c r="AV1341" s="8"/>
      <c r="AW1341" s="8"/>
      <c r="AX1341" s="8"/>
      <c r="AY1341" s="8"/>
      <c r="AZ1341" s="10"/>
    </row>
    <row r="1342" spans="2:52" x14ac:dyDescent="0.35">
      <c r="B1342" s="7"/>
      <c r="C1342" s="8"/>
      <c r="D1342" s="8"/>
      <c r="E1342" s="8"/>
      <c r="F1342" s="8"/>
      <c r="G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8"/>
      <c r="AD1342" s="8"/>
      <c r="AE1342" s="8"/>
      <c r="AF1342" s="8"/>
      <c r="AG1342" s="8"/>
      <c r="AH1342" s="8"/>
      <c r="AI1342" s="8"/>
      <c r="AJ1342" s="8"/>
      <c r="AK1342" s="8"/>
      <c r="AL1342" s="8"/>
      <c r="AM1342" s="8"/>
      <c r="AN1342" s="8"/>
      <c r="AO1342" s="8"/>
      <c r="AP1342" s="8"/>
      <c r="AQ1342" s="8"/>
      <c r="AR1342" s="8"/>
      <c r="AS1342" s="8"/>
      <c r="AT1342" s="8"/>
      <c r="AU1342" s="8"/>
      <c r="AV1342" s="8"/>
      <c r="AW1342" s="8"/>
      <c r="AX1342" s="8"/>
      <c r="AY1342" s="8"/>
      <c r="AZ1342" s="10"/>
    </row>
    <row r="1343" spans="2:52" x14ac:dyDescent="0.35">
      <c r="B1343" s="7"/>
      <c r="C1343" s="8"/>
      <c r="D1343" s="8"/>
      <c r="E1343" s="8"/>
      <c r="F1343" s="8"/>
      <c r="G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8"/>
      <c r="AD1343" s="8"/>
      <c r="AE1343" s="8"/>
      <c r="AF1343" s="8"/>
      <c r="AG1343" s="8"/>
      <c r="AH1343" s="8"/>
      <c r="AI1343" s="8"/>
      <c r="AJ1343" s="8"/>
      <c r="AK1343" s="8"/>
      <c r="AL1343" s="8"/>
      <c r="AM1343" s="8"/>
      <c r="AN1343" s="8"/>
      <c r="AO1343" s="8"/>
      <c r="AP1343" s="8"/>
      <c r="AQ1343" s="8"/>
      <c r="AR1343" s="8"/>
      <c r="AS1343" s="8"/>
      <c r="AT1343" s="8"/>
      <c r="AU1343" s="8"/>
      <c r="AV1343" s="8"/>
      <c r="AW1343" s="8"/>
      <c r="AX1343" s="8"/>
      <c r="AY1343" s="8"/>
      <c r="AZ1343" s="10"/>
    </row>
    <row r="1344" spans="2:52" x14ac:dyDescent="0.35">
      <c r="B1344" s="7"/>
      <c r="C1344" s="8"/>
      <c r="D1344" s="8"/>
      <c r="E1344" s="8"/>
      <c r="F1344" s="8"/>
      <c r="G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  <c r="AD1344" s="8"/>
      <c r="AE1344" s="8"/>
      <c r="AF1344" s="8"/>
      <c r="AG1344" s="8"/>
      <c r="AH1344" s="8"/>
      <c r="AI1344" s="8"/>
      <c r="AJ1344" s="8"/>
      <c r="AK1344" s="8"/>
      <c r="AL1344" s="8"/>
      <c r="AM1344" s="8"/>
      <c r="AN1344" s="8"/>
      <c r="AO1344" s="8"/>
      <c r="AP1344" s="8"/>
      <c r="AQ1344" s="8"/>
      <c r="AR1344" s="8"/>
      <c r="AS1344" s="8"/>
      <c r="AT1344" s="8"/>
      <c r="AU1344" s="8"/>
      <c r="AV1344" s="8"/>
      <c r="AW1344" s="8"/>
      <c r="AX1344" s="8"/>
      <c r="AY1344" s="8"/>
      <c r="AZ1344" s="10"/>
    </row>
    <row r="1345" spans="2:52" x14ac:dyDescent="0.35">
      <c r="B1345" s="7"/>
      <c r="C1345" s="8"/>
      <c r="D1345" s="8"/>
      <c r="E1345" s="8"/>
      <c r="F1345" s="8"/>
      <c r="G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  <c r="AD1345" s="8"/>
      <c r="AE1345" s="8"/>
      <c r="AF1345" s="8"/>
      <c r="AG1345" s="8"/>
      <c r="AH1345" s="8"/>
      <c r="AI1345" s="8"/>
      <c r="AJ1345" s="8"/>
      <c r="AK1345" s="8"/>
      <c r="AL1345" s="8"/>
      <c r="AM1345" s="8"/>
      <c r="AN1345" s="8"/>
      <c r="AO1345" s="8"/>
      <c r="AP1345" s="8"/>
      <c r="AQ1345" s="8"/>
      <c r="AR1345" s="8"/>
      <c r="AS1345" s="8"/>
      <c r="AT1345" s="8"/>
      <c r="AU1345" s="8"/>
      <c r="AV1345" s="8"/>
      <c r="AW1345" s="8"/>
      <c r="AX1345" s="8"/>
      <c r="AY1345" s="8"/>
      <c r="AZ1345" s="10"/>
    </row>
    <row r="1346" spans="2:52" x14ac:dyDescent="0.35">
      <c r="B1346" s="7"/>
      <c r="C1346" s="8"/>
      <c r="D1346" s="8"/>
      <c r="E1346" s="8"/>
      <c r="F1346" s="8"/>
      <c r="G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8"/>
      <c r="AD1346" s="8"/>
      <c r="AE1346" s="8"/>
      <c r="AF1346" s="8"/>
      <c r="AG1346" s="8"/>
      <c r="AH1346" s="8"/>
      <c r="AI1346" s="8"/>
      <c r="AJ1346" s="8"/>
      <c r="AK1346" s="8"/>
      <c r="AL1346" s="8"/>
      <c r="AM1346" s="8"/>
      <c r="AN1346" s="8"/>
      <c r="AO1346" s="8"/>
      <c r="AP1346" s="8"/>
      <c r="AQ1346" s="8"/>
      <c r="AR1346" s="8"/>
      <c r="AS1346" s="8"/>
      <c r="AT1346" s="8"/>
      <c r="AU1346" s="8"/>
      <c r="AV1346" s="8"/>
      <c r="AW1346" s="8"/>
      <c r="AX1346" s="8"/>
      <c r="AY1346" s="8"/>
      <c r="AZ1346" s="10"/>
    </row>
    <row r="1347" spans="2:52" x14ac:dyDescent="0.35">
      <c r="B1347" s="7"/>
      <c r="C1347" s="8"/>
      <c r="D1347" s="8"/>
      <c r="E1347" s="8"/>
      <c r="F1347" s="8"/>
      <c r="G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8"/>
      <c r="AD1347" s="8"/>
      <c r="AE1347" s="8"/>
      <c r="AF1347" s="8"/>
      <c r="AG1347" s="8"/>
      <c r="AH1347" s="8"/>
      <c r="AI1347" s="8"/>
      <c r="AJ1347" s="8"/>
      <c r="AK1347" s="8"/>
      <c r="AL1347" s="8"/>
      <c r="AM1347" s="8"/>
      <c r="AN1347" s="8"/>
      <c r="AO1347" s="8"/>
      <c r="AP1347" s="8"/>
      <c r="AQ1347" s="8"/>
      <c r="AR1347" s="8"/>
      <c r="AS1347" s="8"/>
      <c r="AT1347" s="8"/>
      <c r="AU1347" s="8"/>
      <c r="AV1347" s="8"/>
      <c r="AW1347" s="8"/>
      <c r="AX1347" s="8"/>
      <c r="AY1347" s="8"/>
      <c r="AZ1347" s="10"/>
    </row>
    <row r="1348" spans="2:52" x14ac:dyDescent="0.35">
      <c r="B1348" s="7"/>
      <c r="C1348" s="8"/>
      <c r="D1348" s="8"/>
      <c r="E1348" s="8"/>
      <c r="F1348" s="8"/>
      <c r="G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  <c r="AD1348" s="8"/>
      <c r="AE1348" s="8"/>
      <c r="AF1348" s="8"/>
      <c r="AG1348" s="8"/>
      <c r="AH1348" s="8"/>
      <c r="AI1348" s="8"/>
      <c r="AJ1348" s="8"/>
      <c r="AK1348" s="8"/>
      <c r="AL1348" s="8"/>
      <c r="AM1348" s="8"/>
      <c r="AN1348" s="8"/>
      <c r="AO1348" s="8"/>
      <c r="AP1348" s="8"/>
      <c r="AQ1348" s="8"/>
      <c r="AR1348" s="8"/>
      <c r="AS1348" s="8"/>
      <c r="AT1348" s="8"/>
      <c r="AU1348" s="8"/>
      <c r="AV1348" s="8"/>
      <c r="AW1348" s="8"/>
      <c r="AX1348" s="8"/>
      <c r="AY1348" s="8"/>
      <c r="AZ1348" s="10"/>
    </row>
    <row r="1349" spans="2:52" x14ac:dyDescent="0.35">
      <c r="B1349" s="7"/>
      <c r="C1349" s="8"/>
      <c r="D1349" s="8"/>
      <c r="E1349" s="8"/>
      <c r="F1349" s="8"/>
      <c r="G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8"/>
      <c r="AD1349" s="8"/>
      <c r="AE1349" s="8"/>
      <c r="AF1349" s="8"/>
      <c r="AG1349" s="8"/>
      <c r="AH1349" s="8"/>
      <c r="AI1349" s="8"/>
      <c r="AJ1349" s="8"/>
      <c r="AK1349" s="8"/>
      <c r="AL1349" s="8"/>
      <c r="AM1349" s="8"/>
      <c r="AN1349" s="8"/>
      <c r="AO1349" s="8"/>
      <c r="AP1349" s="8"/>
      <c r="AQ1349" s="8"/>
      <c r="AR1349" s="8"/>
      <c r="AS1349" s="8"/>
      <c r="AT1349" s="8"/>
      <c r="AU1349" s="8"/>
      <c r="AV1349" s="8"/>
      <c r="AW1349" s="8"/>
      <c r="AX1349" s="8"/>
      <c r="AY1349" s="8"/>
      <c r="AZ1349" s="10"/>
    </row>
    <row r="1350" spans="2:52" x14ac:dyDescent="0.35">
      <c r="B1350" s="7"/>
      <c r="C1350" s="8"/>
      <c r="D1350" s="8"/>
      <c r="E1350" s="8"/>
      <c r="F1350" s="8"/>
      <c r="G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  <c r="AD1350" s="8"/>
      <c r="AE1350" s="8"/>
      <c r="AF1350" s="8"/>
      <c r="AG1350" s="8"/>
      <c r="AH1350" s="8"/>
      <c r="AI1350" s="8"/>
      <c r="AJ1350" s="8"/>
      <c r="AK1350" s="8"/>
      <c r="AL1350" s="8"/>
      <c r="AM1350" s="8"/>
      <c r="AN1350" s="8"/>
      <c r="AO1350" s="8"/>
      <c r="AP1350" s="8"/>
      <c r="AQ1350" s="8"/>
      <c r="AR1350" s="8"/>
      <c r="AS1350" s="8"/>
      <c r="AT1350" s="8"/>
      <c r="AU1350" s="8"/>
      <c r="AV1350" s="8"/>
      <c r="AW1350" s="8"/>
      <c r="AX1350" s="8"/>
      <c r="AY1350" s="8"/>
      <c r="AZ1350" s="10"/>
    </row>
    <row r="1351" spans="2:52" x14ac:dyDescent="0.35">
      <c r="B1351" s="7"/>
      <c r="C1351" s="8"/>
      <c r="D1351" s="8"/>
      <c r="E1351" s="8"/>
      <c r="F1351" s="8"/>
      <c r="G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  <c r="AD1351" s="8"/>
      <c r="AE1351" s="8"/>
      <c r="AF1351" s="8"/>
      <c r="AG1351" s="8"/>
      <c r="AH1351" s="8"/>
      <c r="AI1351" s="8"/>
      <c r="AJ1351" s="8"/>
      <c r="AK1351" s="8"/>
      <c r="AL1351" s="8"/>
      <c r="AM1351" s="8"/>
      <c r="AN1351" s="8"/>
      <c r="AO1351" s="8"/>
      <c r="AP1351" s="8"/>
      <c r="AQ1351" s="8"/>
      <c r="AR1351" s="8"/>
      <c r="AS1351" s="8"/>
      <c r="AT1351" s="8"/>
      <c r="AU1351" s="8"/>
      <c r="AV1351" s="8"/>
      <c r="AW1351" s="8"/>
      <c r="AX1351" s="8"/>
      <c r="AY1351" s="8"/>
      <c r="AZ1351" s="10"/>
    </row>
    <row r="1352" spans="2:52" x14ac:dyDescent="0.35">
      <c r="B1352" s="7"/>
      <c r="C1352" s="8"/>
      <c r="D1352" s="8"/>
      <c r="E1352" s="8"/>
      <c r="F1352" s="8"/>
      <c r="G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  <c r="AD1352" s="8"/>
      <c r="AE1352" s="8"/>
      <c r="AF1352" s="8"/>
      <c r="AG1352" s="8"/>
      <c r="AH1352" s="8"/>
      <c r="AI1352" s="8"/>
      <c r="AJ1352" s="8"/>
      <c r="AK1352" s="8"/>
      <c r="AL1352" s="8"/>
      <c r="AM1352" s="8"/>
      <c r="AN1352" s="8"/>
      <c r="AO1352" s="8"/>
      <c r="AP1352" s="8"/>
      <c r="AQ1352" s="8"/>
      <c r="AR1352" s="8"/>
      <c r="AS1352" s="8"/>
      <c r="AT1352" s="8"/>
      <c r="AU1352" s="8"/>
      <c r="AV1352" s="8"/>
      <c r="AW1352" s="8"/>
      <c r="AX1352" s="8"/>
      <c r="AY1352" s="8"/>
      <c r="AZ1352" s="10"/>
    </row>
    <row r="1353" spans="2:52" x14ac:dyDescent="0.35">
      <c r="B1353" s="7"/>
      <c r="C1353" s="8"/>
      <c r="D1353" s="8"/>
      <c r="E1353" s="8"/>
      <c r="F1353" s="8"/>
      <c r="G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  <c r="AD1353" s="8"/>
      <c r="AE1353" s="8"/>
      <c r="AF1353" s="8"/>
      <c r="AG1353" s="8"/>
      <c r="AH1353" s="8"/>
      <c r="AI1353" s="8"/>
      <c r="AJ1353" s="8"/>
      <c r="AK1353" s="8"/>
      <c r="AL1353" s="8"/>
      <c r="AM1353" s="8"/>
      <c r="AN1353" s="8"/>
      <c r="AO1353" s="8"/>
      <c r="AP1353" s="8"/>
      <c r="AQ1353" s="8"/>
      <c r="AR1353" s="8"/>
      <c r="AS1353" s="8"/>
      <c r="AT1353" s="8"/>
      <c r="AU1353" s="8"/>
      <c r="AV1353" s="8"/>
      <c r="AW1353" s="8"/>
      <c r="AX1353" s="8"/>
      <c r="AY1353" s="8"/>
      <c r="AZ1353" s="10"/>
    </row>
    <row r="1354" spans="2:52" x14ac:dyDescent="0.35">
      <c r="B1354" s="7"/>
      <c r="C1354" s="8"/>
      <c r="D1354" s="8"/>
      <c r="E1354" s="8"/>
      <c r="F1354" s="8"/>
      <c r="G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8"/>
      <c r="AE1354" s="8"/>
      <c r="AF1354" s="8"/>
      <c r="AG1354" s="8"/>
      <c r="AH1354" s="8"/>
      <c r="AI1354" s="8"/>
      <c r="AJ1354" s="8"/>
      <c r="AK1354" s="8"/>
      <c r="AL1354" s="8"/>
      <c r="AM1354" s="8"/>
      <c r="AN1354" s="8"/>
      <c r="AO1354" s="8"/>
      <c r="AP1354" s="8"/>
      <c r="AQ1354" s="8"/>
      <c r="AR1354" s="8"/>
      <c r="AS1354" s="8"/>
      <c r="AT1354" s="8"/>
      <c r="AU1354" s="8"/>
      <c r="AV1354" s="8"/>
      <c r="AW1354" s="8"/>
      <c r="AX1354" s="8"/>
      <c r="AY1354" s="8"/>
      <c r="AZ1354" s="10"/>
    </row>
    <row r="1355" spans="2:52" x14ac:dyDescent="0.35">
      <c r="B1355" s="7"/>
      <c r="C1355" s="8"/>
      <c r="D1355" s="8"/>
      <c r="E1355" s="8"/>
      <c r="F1355" s="8"/>
      <c r="G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  <c r="AD1355" s="8"/>
      <c r="AE1355" s="8"/>
      <c r="AF1355" s="8"/>
      <c r="AG1355" s="8"/>
      <c r="AH1355" s="8"/>
      <c r="AI1355" s="8"/>
      <c r="AJ1355" s="8"/>
      <c r="AK1355" s="8"/>
      <c r="AL1355" s="8"/>
      <c r="AM1355" s="8"/>
      <c r="AN1355" s="8"/>
      <c r="AO1355" s="8"/>
      <c r="AP1355" s="8"/>
      <c r="AQ1355" s="8"/>
      <c r="AR1355" s="8"/>
      <c r="AS1355" s="8"/>
      <c r="AT1355" s="8"/>
      <c r="AU1355" s="8"/>
      <c r="AV1355" s="8"/>
      <c r="AW1355" s="8"/>
      <c r="AX1355" s="8"/>
      <c r="AY1355" s="8"/>
      <c r="AZ1355" s="10"/>
    </row>
    <row r="1356" spans="2:52" x14ac:dyDescent="0.35">
      <c r="B1356" s="7"/>
      <c r="C1356" s="8"/>
      <c r="D1356" s="8"/>
      <c r="E1356" s="8"/>
      <c r="F1356" s="8"/>
      <c r="G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  <c r="AD1356" s="8"/>
      <c r="AE1356" s="8"/>
      <c r="AF1356" s="8"/>
      <c r="AG1356" s="8"/>
      <c r="AH1356" s="8"/>
      <c r="AI1356" s="8"/>
      <c r="AJ1356" s="8"/>
      <c r="AK1356" s="8"/>
      <c r="AL1356" s="8"/>
      <c r="AM1356" s="8"/>
      <c r="AN1356" s="8"/>
      <c r="AO1356" s="8"/>
      <c r="AP1356" s="8"/>
      <c r="AQ1356" s="8"/>
      <c r="AR1356" s="8"/>
      <c r="AS1356" s="8"/>
      <c r="AT1356" s="8"/>
      <c r="AU1356" s="8"/>
      <c r="AV1356" s="8"/>
      <c r="AW1356" s="8"/>
      <c r="AX1356" s="8"/>
      <c r="AY1356" s="8"/>
      <c r="AZ1356" s="10"/>
    </row>
    <row r="1357" spans="2:52" x14ac:dyDescent="0.35">
      <c r="B1357" s="7"/>
      <c r="C1357" s="8"/>
      <c r="D1357" s="8"/>
      <c r="E1357" s="8"/>
      <c r="F1357" s="8"/>
      <c r="G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  <c r="AG1357" s="8"/>
      <c r="AH1357" s="8"/>
      <c r="AI1357" s="8"/>
      <c r="AJ1357" s="8"/>
      <c r="AK1357" s="8"/>
      <c r="AL1357" s="8"/>
      <c r="AM1357" s="8"/>
      <c r="AN1357" s="8"/>
      <c r="AO1357" s="8"/>
      <c r="AP1357" s="8"/>
      <c r="AQ1357" s="8"/>
      <c r="AR1357" s="8"/>
      <c r="AS1357" s="8"/>
      <c r="AT1357" s="8"/>
      <c r="AU1357" s="8"/>
      <c r="AV1357" s="8"/>
      <c r="AW1357" s="8"/>
      <c r="AX1357" s="8"/>
      <c r="AY1357" s="8"/>
      <c r="AZ1357" s="10"/>
    </row>
    <row r="1358" spans="2:52" x14ac:dyDescent="0.35">
      <c r="B1358" s="7"/>
      <c r="C1358" s="8"/>
      <c r="D1358" s="8"/>
      <c r="E1358" s="8"/>
      <c r="F1358" s="8"/>
      <c r="G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  <c r="AG1358" s="8"/>
      <c r="AH1358" s="8"/>
      <c r="AI1358" s="8"/>
      <c r="AJ1358" s="8"/>
      <c r="AK1358" s="8"/>
      <c r="AL1358" s="8"/>
      <c r="AM1358" s="8"/>
      <c r="AN1358" s="8"/>
      <c r="AO1358" s="8"/>
      <c r="AP1358" s="8"/>
      <c r="AQ1358" s="8"/>
      <c r="AR1358" s="8"/>
      <c r="AS1358" s="8"/>
      <c r="AT1358" s="8"/>
      <c r="AU1358" s="8"/>
      <c r="AV1358" s="8"/>
      <c r="AW1358" s="8"/>
      <c r="AX1358" s="8"/>
      <c r="AY1358" s="8"/>
      <c r="AZ1358" s="10"/>
    </row>
    <row r="1359" spans="2:52" x14ac:dyDescent="0.35">
      <c r="B1359" s="7"/>
      <c r="C1359" s="8"/>
      <c r="D1359" s="8"/>
      <c r="E1359" s="8"/>
      <c r="F1359" s="8"/>
      <c r="G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  <c r="AG1359" s="8"/>
      <c r="AH1359" s="8"/>
      <c r="AI1359" s="8"/>
      <c r="AJ1359" s="8"/>
      <c r="AK1359" s="8"/>
      <c r="AL1359" s="8"/>
      <c r="AM1359" s="8"/>
      <c r="AN1359" s="8"/>
      <c r="AO1359" s="8"/>
      <c r="AP1359" s="8"/>
      <c r="AQ1359" s="8"/>
      <c r="AR1359" s="8"/>
      <c r="AS1359" s="8"/>
      <c r="AT1359" s="8"/>
      <c r="AU1359" s="8"/>
      <c r="AV1359" s="8"/>
      <c r="AW1359" s="8"/>
      <c r="AX1359" s="8"/>
      <c r="AY1359" s="8"/>
      <c r="AZ1359" s="10"/>
    </row>
    <row r="1360" spans="2:52" x14ac:dyDescent="0.35">
      <c r="B1360" s="7"/>
      <c r="C1360" s="8"/>
      <c r="D1360" s="8"/>
      <c r="E1360" s="8"/>
      <c r="F1360" s="8"/>
      <c r="G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  <c r="AD1360" s="8"/>
      <c r="AE1360" s="8"/>
      <c r="AF1360" s="8"/>
      <c r="AG1360" s="8"/>
      <c r="AH1360" s="8"/>
      <c r="AI1360" s="8"/>
      <c r="AJ1360" s="8"/>
      <c r="AK1360" s="8"/>
      <c r="AL1360" s="8"/>
      <c r="AM1360" s="8"/>
      <c r="AN1360" s="8"/>
      <c r="AO1360" s="8"/>
      <c r="AP1360" s="8"/>
      <c r="AQ1360" s="8"/>
      <c r="AR1360" s="8"/>
      <c r="AS1360" s="8"/>
      <c r="AT1360" s="8"/>
      <c r="AU1360" s="8"/>
      <c r="AV1360" s="8"/>
      <c r="AW1360" s="8"/>
      <c r="AX1360" s="8"/>
      <c r="AY1360" s="8"/>
      <c r="AZ1360" s="10"/>
    </row>
    <row r="1361" spans="2:52" x14ac:dyDescent="0.35">
      <c r="B1361" s="7"/>
      <c r="C1361" s="8"/>
      <c r="D1361" s="8"/>
      <c r="E1361" s="8"/>
      <c r="F1361" s="8"/>
      <c r="G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  <c r="AG1361" s="8"/>
      <c r="AH1361" s="8"/>
      <c r="AI1361" s="8"/>
      <c r="AJ1361" s="8"/>
      <c r="AK1361" s="8"/>
      <c r="AL1361" s="8"/>
      <c r="AM1361" s="8"/>
      <c r="AN1361" s="8"/>
      <c r="AO1361" s="8"/>
      <c r="AP1361" s="8"/>
      <c r="AQ1361" s="8"/>
      <c r="AR1361" s="8"/>
      <c r="AS1361" s="8"/>
      <c r="AT1361" s="8"/>
      <c r="AU1361" s="8"/>
      <c r="AV1361" s="8"/>
      <c r="AW1361" s="8"/>
      <c r="AX1361" s="8"/>
      <c r="AY1361" s="8"/>
      <c r="AZ1361" s="10"/>
    </row>
    <row r="1362" spans="2:52" x14ac:dyDescent="0.35">
      <c r="B1362" s="7"/>
      <c r="C1362" s="8"/>
      <c r="D1362" s="8"/>
      <c r="E1362" s="8"/>
      <c r="F1362" s="8"/>
      <c r="G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  <c r="AD1362" s="8"/>
      <c r="AE1362" s="8"/>
      <c r="AF1362" s="8"/>
      <c r="AG1362" s="8"/>
      <c r="AH1362" s="8"/>
      <c r="AI1362" s="8"/>
      <c r="AJ1362" s="8"/>
      <c r="AK1362" s="8"/>
      <c r="AL1362" s="8"/>
      <c r="AM1362" s="8"/>
      <c r="AN1362" s="8"/>
      <c r="AO1362" s="8"/>
      <c r="AP1362" s="8"/>
      <c r="AQ1362" s="8"/>
      <c r="AR1362" s="8"/>
      <c r="AS1362" s="8"/>
      <c r="AT1362" s="8"/>
      <c r="AU1362" s="8"/>
      <c r="AV1362" s="8"/>
      <c r="AW1362" s="8"/>
      <c r="AX1362" s="8"/>
      <c r="AY1362" s="8"/>
      <c r="AZ1362" s="10"/>
    </row>
    <row r="1363" spans="2:52" x14ac:dyDescent="0.35">
      <c r="B1363" s="7"/>
      <c r="C1363" s="8"/>
      <c r="D1363" s="8"/>
      <c r="E1363" s="8"/>
      <c r="F1363" s="8"/>
      <c r="G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  <c r="AD1363" s="8"/>
      <c r="AE1363" s="8"/>
      <c r="AF1363" s="8"/>
      <c r="AG1363" s="8"/>
      <c r="AH1363" s="8"/>
      <c r="AI1363" s="8"/>
      <c r="AJ1363" s="8"/>
      <c r="AK1363" s="8"/>
      <c r="AL1363" s="8"/>
      <c r="AM1363" s="8"/>
      <c r="AN1363" s="8"/>
      <c r="AO1363" s="8"/>
      <c r="AP1363" s="8"/>
      <c r="AQ1363" s="8"/>
      <c r="AR1363" s="8"/>
      <c r="AS1363" s="8"/>
      <c r="AT1363" s="8"/>
      <c r="AU1363" s="8"/>
      <c r="AV1363" s="8"/>
      <c r="AW1363" s="8"/>
      <c r="AX1363" s="8"/>
      <c r="AY1363" s="8"/>
      <c r="AZ1363" s="10"/>
    </row>
    <row r="1364" spans="2:52" x14ac:dyDescent="0.35">
      <c r="B1364" s="7"/>
      <c r="C1364" s="8"/>
      <c r="D1364" s="8"/>
      <c r="E1364" s="8"/>
      <c r="F1364" s="8"/>
      <c r="G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8"/>
      <c r="AD1364" s="8"/>
      <c r="AE1364" s="8"/>
      <c r="AF1364" s="8"/>
      <c r="AG1364" s="8"/>
      <c r="AH1364" s="8"/>
      <c r="AI1364" s="8"/>
      <c r="AJ1364" s="8"/>
      <c r="AK1364" s="8"/>
      <c r="AL1364" s="8"/>
      <c r="AM1364" s="8"/>
      <c r="AN1364" s="8"/>
      <c r="AO1364" s="8"/>
      <c r="AP1364" s="8"/>
      <c r="AQ1364" s="8"/>
      <c r="AR1364" s="8"/>
      <c r="AS1364" s="8"/>
      <c r="AT1364" s="8"/>
      <c r="AU1364" s="8"/>
      <c r="AV1364" s="8"/>
      <c r="AW1364" s="8"/>
      <c r="AX1364" s="8"/>
      <c r="AY1364" s="8"/>
      <c r="AZ1364" s="10"/>
    </row>
    <row r="1365" spans="2:52" x14ac:dyDescent="0.35">
      <c r="B1365" s="7"/>
      <c r="C1365" s="8"/>
      <c r="D1365" s="8"/>
      <c r="E1365" s="8"/>
      <c r="F1365" s="8"/>
      <c r="G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8"/>
      <c r="AD1365" s="8"/>
      <c r="AE1365" s="8"/>
      <c r="AF1365" s="8"/>
      <c r="AG1365" s="8"/>
      <c r="AH1365" s="8"/>
      <c r="AI1365" s="8"/>
      <c r="AJ1365" s="8"/>
      <c r="AK1365" s="8"/>
      <c r="AL1365" s="8"/>
      <c r="AM1365" s="8"/>
      <c r="AN1365" s="8"/>
      <c r="AO1365" s="8"/>
      <c r="AP1365" s="8"/>
      <c r="AQ1365" s="8"/>
      <c r="AR1365" s="8"/>
      <c r="AS1365" s="8"/>
      <c r="AT1365" s="8"/>
      <c r="AU1365" s="8"/>
      <c r="AV1365" s="8"/>
      <c r="AW1365" s="8"/>
      <c r="AX1365" s="8"/>
      <c r="AY1365" s="8"/>
      <c r="AZ1365" s="10"/>
    </row>
    <row r="1366" spans="2:52" x14ac:dyDescent="0.35">
      <c r="B1366" s="7"/>
      <c r="C1366" s="8"/>
      <c r="D1366" s="8"/>
      <c r="E1366" s="8"/>
      <c r="F1366" s="8"/>
      <c r="G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8"/>
      <c r="AD1366" s="8"/>
      <c r="AE1366" s="8"/>
      <c r="AF1366" s="8"/>
      <c r="AG1366" s="8"/>
      <c r="AH1366" s="8"/>
      <c r="AI1366" s="8"/>
      <c r="AJ1366" s="8"/>
      <c r="AK1366" s="8"/>
      <c r="AL1366" s="8"/>
      <c r="AM1366" s="8"/>
      <c r="AN1366" s="8"/>
      <c r="AO1366" s="8"/>
      <c r="AP1366" s="8"/>
      <c r="AQ1366" s="8"/>
      <c r="AR1366" s="8"/>
      <c r="AS1366" s="8"/>
      <c r="AT1366" s="8"/>
      <c r="AU1366" s="8"/>
      <c r="AV1366" s="8"/>
      <c r="AW1366" s="8"/>
      <c r="AX1366" s="8"/>
      <c r="AY1366" s="8"/>
      <c r="AZ1366" s="10"/>
    </row>
    <row r="1367" spans="2:52" x14ac:dyDescent="0.35">
      <c r="B1367" s="7"/>
      <c r="C1367" s="8"/>
      <c r="D1367" s="8"/>
      <c r="E1367" s="8"/>
      <c r="F1367" s="8"/>
      <c r="G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8"/>
      <c r="AD1367" s="8"/>
      <c r="AE1367" s="8"/>
      <c r="AF1367" s="8"/>
      <c r="AG1367" s="8"/>
      <c r="AH1367" s="8"/>
      <c r="AI1367" s="8"/>
      <c r="AJ1367" s="8"/>
      <c r="AK1367" s="8"/>
      <c r="AL1367" s="8"/>
      <c r="AM1367" s="8"/>
      <c r="AN1367" s="8"/>
      <c r="AO1367" s="8"/>
      <c r="AP1367" s="8"/>
      <c r="AQ1367" s="8"/>
      <c r="AR1367" s="8"/>
      <c r="AS1367" s="8"/>
      <c r="AT1367" s="8"/>
      <c r="AU1367" s="8"/>
      <c r="AV1367" s="8"/>
      <c r="AW1367" s="8"/>
      <c r="AX1367" s="8"/>
      <c r="AY1367" s="8"/>
      <c r="AZ1367" s="10"/>
    </row>
    <row r="1368" spans="2:52" x14ac:dyDescent="0.35">
      <c r="B1368" s="7"/>
      <c r="C1368" s="8"/>
      <c r="D1368" s="8"/>
      <c r="E1368" s="8"/>
      <c r="F1368" s="8"/>
      <c r="G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8"/>
      <c r="AD1368" s="8"/>
      <c r="AE1368" s="8"/>
      <c r="AF1368" s="8"/>
      <c r="AG1368" s="8"/>
      <c r="AH1368" s="8"/>
      <c r="AI1368" s="8"/>
      <c r="AJ1368" s="8"/>
      <c r="AK1368" s="8"/>
      <c r="AL1368" s="8"/>
      <c r="AM1368" s="8"/>
      <c r="AN1368" s="8"/>
      <c r="AO1368" s="8"/>
      <c r="AP1368" s="8"/>
      <c r="AQ1368" s="8"/>
      <c r="AR1368" s="8"/>
      <c r="AS1368" s="8"/>
      <c r="AT1368" s="8"/>
      <c r="AU1368" s="8"/>
      <c r="AV1368" s="8"/>
      <c r="AW1368" s="8"/>
      <c r="AX1368" s="8"/>
      <c r="AY1368" s="8"/>
      <c r="AZ1368" s="10"/>
    </row>
    <row r="1369" spans="2:52" x14ac:dyDescent="0.35">
      <c r="B1369" s="7"/>
      <c r="C1369" s="8"/>
      <c r="D1369" s="8"/>
      <c r="E1369" s="8"/>
      <c r="F1369" s="8"/>
      <c r="G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8"/>
      <c r="AD1369" s="8"/>
      <c r="AE1369" s="8"/>
      <c r="AF1369" s="8"/>
      <c r="AG1369" s="8"/>
      <c r="AH1369" s="8"/>
      <c r="AI1369" s="8"/>
      <c r="AJ1369" s="8"/>
      <c r="AK1369" s="8"/>
      <c r="AL1369" s="8"/>
      <c r="AM1369" s="8"/>
      <c r="AN1369" s="8"/>
      <c r="AO1369" s="8"/>
      <c r="AP1369" s="8"/>
      <c r="AQ1369" s="8"/>
      <c r="AR1369" s="8"/>
      <c r="AS1369" s="8"/>
      <c r="AT1369" s="8"/>
      <c r="AU1369" s="8"/>
      <c r="AV1369" s="8"/>
      <c r="AW1369" s="8"/>
      <c r="AX1369" s="8"/>
      <c r="AY1369" s="8"/>
      <c r="AZ1369" s="10"/>
    </row>
    <row r="1370" spans="2:52" x14ac:dyDescent="0.35">
      <c r="B1370" s="7"/>
      <c r="C1370" s="8"/>
      <c r="D1370" s="8"/>
      <c r="E1370" s="8"/>
      <c r="F1370" s="8"/>
      <c r="G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  <c r="AD1370" s="8"/>
      <c r="AE1370" s="8"/>
      <c r="AF1370" s="8"/>
      <c r="AG1370" s="8"/>
      <c r="AH1370" s="8"/>
      <c r="AI1370" s="8"/>
      <c r="AJ1370" s="8"/>
      <c r="AK1370" s="8"/>
      <c r="AL1370" s="8"/>
      <c r="AM1370" s="8"/>
      <c r="AN1370" s="8"/>
      <c r="AO1370" s="8"/>
      <c r="AP1370" s="8"/>
      <c r="AQ1370" s="8"/>
      <c r="AR1370" s="8"/>
      <c r="AS1370" s="8"/>
      <c r="AT1370" s="8"/>
      <c r="AU1370" s="8"/>
      <c r="AV1370" s="8"/>
      <c r="AW1370" s="8"/>
      <c r="AX1370" s="8"/>
      <c r="AY1370" s="8"/>
      <c r="AZ1370" s="10"/>
    </row>
    <row r="1371" spans="2:52" x14ac:dyDescent="0.35">
      <c r="B1371" s="7"/>
      <c r="C1371" s="8"/>
      <c r="D1371" s="8"/>
      <c r="E1371" s="8"/>
      <c r="F1371" s="8"/>
      <c r="G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8"/>
      <c r="AE1371" s="8"/>
      <c r="AF1371" s="8"/>
      <c r="AG1371" s="8"/>
      <c r="AH1371" s="8"/>
      <c r="AI1371" s="8"/>
      <c r="AJ1371" s="8"/>
      <c r="AK1371" s="8"/>
      <c r="AL1371" s="8"/>
      <c r="AM1371" s="8"/>
      <c r="AN1371" s="8"/>
      <c r="AO1371" s="8"/>
      <c r="AP1371" s="8"/>
      <c r="AQ1371" s="8"/>
      <c r="AR1371" s="8"/>
      <c r="AS1371" s="8"/>
      <c r="AT1371" s="8"/>
      <c r="AU1371" s="8"/>
      <c r="AV1371" s="8"/>
      <c r="AW1371" s="8"/>
      <c r="AX1371" s="8"/>
      <c r="AY1371" s="8"/>
      <c r="AZ1371" s="10"/>
    </row>
    <row r="1372" spans="2:52" x14ac:dyDescent="0.35">
      <c r="B1372" s="7"/>
      <c r="C1372" s="8"/>
      <c r="D1372" s="8"/>
      <c r="E1372" s="8"/>
      <c r="F1372" s="8"/>
      <c r="G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8"/>
      <c r="AE1372" s="8"/>
      <c r="AF1372" s="8"/>
      <c r="AG1372" s="8"/>
      <c r="AH1372" s="8"/>
      <c r="AI1372" s="8"/>
      <c r="AJ1372" s="8"/>
      <c r="AK1372" s="8"/>
      <c r="AL1372" s="8"/>
      <c r="AM1372" s="8"/>
      <c r="AN1372" s="8"/>
      <c r="AO1372" s="8"/>
      <c r="AP1372" s="8"/>
      <c r="AQ1372" s="8"/>
      <c r="AR1372" s="8"/>
      <c r="AS1372" s="8"/>
      <c r="AT1372" s="8"/>
      <c r="AU1372" s="8"/>
      <c r="AV1372" s="8"/>
      <c r="AW1372" s="8"/>
      <c r="AX1372" s="8"/>
      <c r="AY1372" s="8"/>
      <c r="AZ1372" s="10"/>
    </row>
    <row r="1373" spans="2:52" x14ac:dyDescent="0.35">
      <c r="B1373" s="7"/>
      <c r="C1373" s="8"/>
      <c r="D1373" s="8"/>
      <c r="E1373" s="8"/>
      <c r="F1373" s="8"/>
      <c r="G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  <c r="AD1373" s="8"/>
      <c r="AE1373" s="8"/>
      <c r="AF1373" s="8"/>
      <c r="AG1373" s="8"/>
      <c r="AH1373" s="8"/>
      <c r="AI1373" s="8"/>
      <c r="AJ1373" s="8"/>
      <c r="AK1373" s="8"/>
      <c r="AL1373" s="8"/>
      <c r="AM1373" s="8"/>
      <c r="AN1373" s="8"/>
      <c r="AO1373" s="8"/>
      <c r="AP1373" s="8"/>
      <c r="AQ1373" s="8"/>
      <c r="AR1373" s="8"/>
      <c r="AS1373" s="8"/>
      <c r="AT1373" s="8"/>
      <c r="AU1373" s="8"/>
      <c r="AV1373" s="8"/>
      <c r="AW1373" s="8"/>
      <c r="AX1373" s="8"/>
      <c r="AY1373" s="8"/>
      <c r="AZ1373" s="10"/>
    </row>
    <row r="1374" spans="2:52" x14ac:dyDescent="0.35">
      <c r="B1374" s="7"/>
      <c r="C1374" s="8"/>
      <c r="D1374" s="8"/>
      <c r="E1374" s="8"/>
      <c r="F1374" s="8"/>
      <c r="G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8"/>
      <c r="AD1374" s="8"/>
      <c r="AE1374" s="8"/>
      <c r="AF1374" s="8"/>
      <c r="AG1374" s="8"/>
      <c r="AH1374" s="8"/>
      <c r="AI1374" s="8"/>
      <c r="AJ1374" s="8"/>
      <c r="AK1374" s="8"/>
      <c r="AL1374" s="8"/>
      <c r="AM1374" s="8"/>
      <c r="AN1374" s="8"/>
      <c r="AO1374" s="8"/>
      <c r="AP1374" s="8"/>
      <c r="AQ1374" s="8"/>
      <c r="AR1374" s="8"/>
      <c r="AS1374" s="8"/>
      <c r="AT1374" s="8"/>
      <c r="AU1374" s="8"/>
      <c r="AV1374" s="8"/>
      <c r="AW1374" s="8"/>
      <c r="AX1374" s="8"/>
      <c r="AY1374" s="8"/>
      <c r="AZ1374" s="10"/>
    </row>
    <row r="1375" spans="2:52" x14ac:dyDescent="0.35">
      <c r="B1375" s="7"/>
      <c r="C1375" s="8"/>
      <c r="D1375" s="8"/>
      <c r="E1375" s="8"/>
      <c r="F1375" s="8"/>
      <c r="G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  <c r="AD1375" s="8"/>
      <c r="AE1375" s="8"/>
      <c r="AF1375" s="8"/>
      <c r="AG1375" s="8"/>
      <c r="AH1375" s="8"/>
      <c r="AI1375" s="8"/>
      <c r="AJ1375" s="8"/>
      <c r="AK1375" s="8"/>
      <c r="AL1375" s="8"/>
      <c r="AM1375" s="8"/>
      <c r="AN1375" s="8"/>
      <c r="AO1375" s="8"/>
      <c r="AP1375" s="8"/>
      <c r="AQ1375" s="8"/>
      <c r="AR1375" s="8"/>
      <c r="AS1375" s="8"/>
      <c r="AT1375" s="8"/>
      <c r="AU1375" s="8"/>
      <c r="AV1375" s="8"/>
      <c r="AW1375" s="8"/>
      <c r="AX1375" s="8"/>
      <c r="AY1375" s="8"/>
      <c r="AZ1375" s="10"/>
    </row>
    <row r="1376" spans="2:52" x14ac:dyDescent="0.35">
      <c r="B1376" s="7"/>
      <c r="C1376" s="8"/>
      <c r="D1376" s="8"/>
      <c r="E1376" s="8"/>
      <c r="F1376" s="8"/>
      <c r="G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8"/>
      <c r="AE1376" s="8"/>
      <c r="AF1376" s="8"/>
      <c r="AG1376" s="8"/>
      <c r="AH1376" s="8"/>
      <c r="AI1376" s="8"/>
      <c r="AJ1376" s="8"/>
      <c r="AK1376" s="8"/>
      <c r="AL1376" s="8"/>
      <c r="AM1376" s="8"/>
      <c r="AN1376" s="8"/>
      <c r="AO1376" s="8"/>
      <c r="AP1376" s="8"/>
      <c r="AQ1376" s="8"/>
      <c r="AR1376" s="8"/>
      <c r="AS1376" s="8"/>
      <c r="AT1376" s="8"/>
      <c r="AU1376" s="8"/>
      <c r="AV1376" s="8"/>
      <c r="AW1376" s="8"/>
      <c r="AX1376" s="8"/>
      <c r="AY1376" s="8"/>
      <c r="AZ1376" s="10"/>
    </row>
    <row r="1377" spans="2:52" x14ac:dyDescent="0.35">
      <c r="B1377" s="7"/>
      <c r="C1377" s="8"/>
      <c r="D1377" s="8"/>
      <c r="E1377" s="8"/>
      <c r="F1377" s="8"/>
      <c r="G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  <c r="AD1377" s="8"/>
      <c r="AE1377" s="8"/>
      <c r="AF1377" s="8"/>
      <c r="AG1377" s="8"/>
      <c r="AH1377" s="8"/>
      <c r="AI1377" s="8"/>
      <c r="AJ1377" s="8"/>
      <c r="AK1377" s="8"/>
      <c r="AL1377" s="8"/>
      <c r="AM1377" s="8"/>
      <c r="AN1377" s="8"/>
      <c r="AO1377" s="8"/>
      <c r="AP1377" s="8"/>
      <c r="AQ1377" s="8"/>
      <c r="AR1377" s="8"/>
      <c r="AS1377" s="8"/>
      <c r="AT1377" s="8"/>
      <c r="AU1377" s="8"/>
      <c r="AV1377" s="8"/>
      <c r="AW1377" s="8"/>
      <c r="AX1377" s="8"/>
      <c r="AY1377" s="8"/>
      <c r="AZ1377" s="10"/>
    </row>
    <row r="1378" spans="2:52" x14ac:dyDescent="0.35">
      <c r="B1378" s="7"/>
      <c r="C1378" s="8"/>
      <c r="D1378" s="8"/>
      <c r="E1378" s="8"/>
      <c r="F1378" s="8"/>
      <c r="G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8"/>
      <c r="AD1378" s="8"/>
      <c r="AE1378" s="8"/>
      <c r="AF1378" s="8"/>
      <c r="AG1378" s="8"/>
      <c r="AH1378" s="8"/>
      <c r="AI1378" s="8"/>
      <c r="AJ1378" s="8"/>
      <c r="AK1378" s="8"/>
      <c r="AL1378" s="8"/>
      <c r="AM1378" s="8"/>
      <c r="AN1378" s="8"/>
      <c r="AO1378" s="8"/>
      <c r="AP1378" s="8"/>
      <c r="AQ1378" s="8"/>
      <c r="AR1378" s="8"/>
      <c r="AS1378" s="8"/>
      <c r="AT1378" s="8"/>
      <c r="AU1378" s="8"/>
      <c r="AV1378" s="8"/>
      <c r="AW1378" s="8"/>
      <c r="AX1378" s="8"/>
      <c r="AY1378" s="8"/>
      <c r="AZ1378" s="10"/>
    </row>
    <row r="1379" spans="2:52" x14ac:dyDescent="0.35">
      <c r="B1379" s="7"/>
      <c r="C1379" s="8"/>
      <c r="D1379" s="8"/>
      <c r="E1379" s="8"/>
      <c r="F1379" s="8"/>
      <c r="G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8"/>
      <c r="AD1379" s="8"/>
      <c r="AE1379" s="8"/>
      <c r="AF1379" s="8"/>
      <c r="AG1379" s="8"/>
      <c r="AH1379" s="8"/>
      <c r="AI1379" s="8"/>
      <c r="AJ1379" s="8"/>
      <c r="AK1379" s="8"/>
      <c r="AL1379" s="8"/>
      <c r="AM1379" s="8"/>
      <c r="AN1379" s="8"/>
      <c r="AO1379" s="8"/>
      <c r="AP1379" s="8"/>
      <c r="AQ1379" s="8"/>
      <c r="AR1379" s="8"/>
      <c r="AS1379" s="8"/>
      <c r="AT1379" s="8"/>
      <c r="AU1379" s="8"/>
      <c r="AV1379" s="8"/>
      <c r="AW1379" s="8"/>
      <c r="AX1379" s="8"/>
      <c r="AY1379" s="8"/>
      <c r="AZ1379" s="10"/>
    </row>
    <row r="1380" spans="2:52" x14ac:dyDescent="0.35">
      <c r="B1380" s="7"/>
      <c r="C1380" s="8"/>
      <c r="D1380" s="8"/>
      <c r="E1380" s="8"/>
      <c r="F1380" s="8"/>
      <c r="G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  <c r="AD1380" s="8"/>
      <c r="AE1380" s="8"/>
      <c r="AF1380" s="8"/>
      <c r="AG1380" s="8"/>
      <c r="AH1380" s="8"/>
      <c r="AI1380" s="8"/>
      <c r="AJ1380" s="8"/>
      <c r="AK1380" s="8"/>
      <c r="AL1380" s="8"/>
      <c r="AM1380" s="8"/>
      <c r="AN1380" s="8"/>
      <c r="AO1380" s="8"/>
      <c r="AP1380" s="8"/>
      <c r="AQ1380" s="8"/>
      <c r="AR1380" s="8"/>
      <c r="AS1380" s="8"/>
      <c r="AT1380" s="8"/>
      <c r="AU1380" s="8"/>
      <c r="AV1380" s="8"/>
      <c r="AW1380" s="8"/>
      <c r="AX1380" s="8"/>
      <c r="AY1380" s="8"/>
      <c r="AZ1380" s="10"/>
    </row>
    <row r="1381" spans="2:52" x14ac:dyDescent="0.35">
      <c r="B1381" s="7"/>
      <c r="C1381" s="8"/>
      <c r="D1381" s="8"/>
      <c r="E1381" s="8"/>
      <c r="F1381" s="8"/>
      <c r="G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  <c r="AD1381" s="8"/>
      <c r="AE1381" s="8"/>
      <c r="AF1381" s="8"/>
      <c r="AG1381" s="8"/>
      <c r="AH1381" s="8"/>
      <c r="AI1381" s="8"/>
      <c r="AJ1381" s="8"/>
      <c r="AK1381" s="8"/>
      <c r="AL1381" s="8"/>
      <c r="AM1381" s="8"/>
      <c r="AN1381" s="8"/>
      <c r="AO1381" s="8"/>
      <c r="AP1381" s="8"/>
      <c r="AQ1381" s="8"/>
      <c r="AR1381" s="8"/>
      <c r="AS1381" s="8"/>
      <c r="AT1381" s="8"/>
      <c r="AU1381" s="8"/>
      <c r="AV1381" s="8"/>
      <c r="AW1381" s="8"/>
      <c r="AX1381" s="8"/>
      <c r="AY1381" s="8"/>
      <c r="AZ1381" s="10"/>
    </row>
    <row r="1382" spans="2:52" x14ac:dyDescent="0.35">
      <c r="B1382" s="7"/>
      <c r="C1382" s="8"/>
      <c r="D1382" s="8"/>
      <c r="E1382" s="8"/>
      <c r="F1382" s="8"/>
      <c r="G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8"/>
      <c r="AD1382" s="8"/>
      <c r="AE1382" s="8"/>
      <c r="AF1382" s="8"/>
      <c r="AG1382" s="8"/>
      <c r="AH1382" s="8"/>
      <c r="AI1382" s="8"/>
      <c r="AJ1382" s="8"/>
      <c r="AK1382" s="8"/>
      <c r="AL1382" s="8"/>
      <c r="AM1382" s="8"/>
      <c r="AN1382" s="8"/>
      <c r="AO1382" s="8"/>
      <c r="AP1382" s="8"/>
      <c r="AQ1382" s="8"/>
      <c r="AR1382" s="8"/>
      <c r="AS1382" s="8"/>
      <c r="AT1382" s="8"/>
      <c r="AU1382" s="8"/>
      <c r="AV1382" s="8"/>
      <c r="AW1382" s="8"/>
      <c r="AX1382" s="8"/>
      <c r="AY1382" s="8"/>
      <c r="AZ1382" s="10"/>
    </row>
    <row r="1383" spans="2:52" x14ac:dyDescent="0.35">
      <c r="B1383" s="7"/>
      <c r="C1383" s="8"/>
      <c r="D1383" s="8"/>
      <c r="E1383" s="8"/>
      <c r="F1383" s="8"/>
      <c r="G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  <c r="AD1383" s="8"/>
      <c r="AE1383" s="8"/>
      <c r="AF1383" s="8"/>
      <c r="AG1383" s="8"/>
      <c r="AH1383" s="8"/>
      <c r="AI1383" s="8"/>
      <c r="AJ1383" s="8"/>
      <c r="AK1383" s="8"/>
      <c r="AL1383" s="8"/>
      <c r="AM1383" s="8"/>
      <c r="AN1383" s="8"/>
      <c r="AO1383" s="8"/>
      <c r="AP1383" s="8"/>
      <c r="AQ1383" s="8"/>
      <c r="AR1383" s="8"/>
      <c r="AS1383" s="8"/>
      <c r="AT1383" s="8"/>
      <c r="AU1383" s="8"/>
      <c r="AV1383" s="8"/>
      <c r="AW1383" s="8"/>
      <c r="AX1383" s="8"/>
      <c r="AY1383" s="8"/>
      <c r="AZ1383" s="10"/>
    </row>
    <row r="1384" spans="2:52" x14ac:dyDescent="0.35">
      <c r="B1384" s="7"/>
      <c r="C1384" s="8"/>
      <c r="D1384" s="8"/>
      <c r="E1384" s="8"/>
      <c r="F1384" s="8"/>
      <c r="G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  <c r="AD1384" s="8"/>
      <c r="AE1384" s="8"/>
      <c r="AF1384" s="8"/>
      <c r="AG1384" s="8"/>
      <c r="AH1384" s="8"/>
      <c r="AI1384" s="8"/>
      <c r="AJ1384" s="8"/>
      <c r="AK1384" s="8"/>
      <c r="AL1384" s="8"/>
      <c r="AM1384" s="8"/>
      <c r="AN1384" s="8"/>
      <c r="AO1384" s="8"/>
      <c r="AP1384" s="8"/>
      <c r="AQ1384" s="8"/>
      <c r="AR1384" s="8"/>
      <c r="AS1384" s="8"/>
      <c r="AT1384" s="8"/>
      <c r="AU1384" s="8"/>
      <c r="AV1384" s="8"/>
      <c r="AW1384" s="8"/>
      <c r="AX1384" s="8"/>
      <c r="AY1384" s="8"/>
      <c r="AZ1384" s="10"/>
    </row>
    <row r="1385" spans="2:52" x14ac:dyDescent="0.35">
      <c r="B1385" s="7"/>
      <c r="C1385" s="8"/>
      <c r="D1385" s="8"/>
      <c r="E1385" s="8"/>
      <c r="F1385" s="8"/>
      <c r="G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8"/>
      <c r="AD1385" s="8"/>
      <c r="AE1385" s="8"/>
      <c r="AF1385" s="8"/>
      <c r="AG1385" s="8"/>
      <c r="AH1385" s="8"/>
      <c r="AI1385" s="8"/>
      <c r="AJ1385" s="8"/>
      <c r="AK1385" s="8"/>
      <c r="AL1385" s="8"/>
      <c r="AM1385" s="8"/>
      <c r="AN1385" s="8"/>
      <c r="AO1385" s="8"/>
      <c r="AP1385" s="8"/>
      <c r="AQ1385" s="8"/>
      <c r="AR1385" s="8"/>
      <c r="AS1385" s="8"/>
      <c r="AT1385" s="8"/>
      <c r="AU1385" s="8"/>
      <c r="AV1385" s="8"/>
      <c r="AW1385" s="8"/>
      <c r="AX1385" s="8"/>
      <c r="AY1385" s="8"/>
      <c r="AZ1385" s="10"/>
    </row>
    <row r="1386" spans="2:52" x14ac:dyDescent="0.35">
      <c r="B1386" s="7"/>
      <c r="C1386" s="8"/>
      <c r="D1386" s="8"/>
      <c r="E1386" s="8"/>
      <c r="F1386" s="8"/>
      <c r="G1386" s="8"/>
      <c r="H1386" s="8"/>
      <c r="I1386" s="8"/>
      <c r="J1386" s="8"/>
      <c r="K1386" s="8"/>
      <c r="L1386" s="8"/>
      <c r="M1386" s="8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  <c r="AD1386" s="8"/>
      <c r="AE1386" s="8"/>
      <c r="AF1386" s="8"/>
      <c r="AG1386" s="8"/>
      <c r="AH1386" s="8"/>
      <c r="AI1386" s="8"/>
      <c r="AJ1386" s="8"/>
      <c r="AK1386" s="8"/>
      <c r="AL1386" s="8"/>
      <c r="AM1386" s="8"/>
      <c r="AN1386" s="8"/>
      <c r="AO1386" s="8"/>
      <c r="AP1386" s="8"/>
      <c r="AQ1386" s="8"/>
      <c r="AR1386" s="8"/>
      <c r="AS1386" s="8"/>
      <c r="AT1386" s="8"/>
      <c r="AU1386" s="8"/>
      <c r="AV1386" s="8"/>
      <c r="AW1386" s="8"/>
      <c r="AX1386" s="8"/>
      <c r="AY1386" s="8"/>
      <c r="AZ1386" s="10"/>
    </row>
    <row r="1387" spans="2:52" x14ac:dyDescent="0.35">
      <c r="B1387" s="7"/>
      <c r="C1387" s="8"/>
      <c r="D1387" s="8"/>
      <c r="E1387" s="8"/>
      <c r="F1387" s="8"/>
      <c r="G1387" s="8"/>
      <c r="H1387" s="8"/>
      <c r="I1387" s="8"/>
      <c r="J1387" s="8"/>
      <c r="K1387" s="8"/>
      <c r="L1387" s="8"/>
      <c r="M1387" s="8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  <c r="AD1387" s="8"/>
      <c r="AE1387" s="8"/>
      <c r="AF1387" s="8"/>
      <c r="AG1387" s="8"/>
      <c r="AH1387" s="8"/>
      <c r="AI1387" s="8"/>
      <c r="AJ1387" s="8"/>
      <c r="AK1387" s="8"/>
      <c r="AL1387" s="8"/>
      <c r="AM1387" s="8"/>
      <c r="AN1387" s="8"/>
      <c r="AO1387" s="8"/>
      <c r="AP1387" s="8"/>
      <c r="AQ1387" s="8"/>
      <c r="AR1387" s="8"/>
      <c r="AS1387" s="8"/>
      <c r="AT1387" s="8"/>
      <c r="AU1387" s="8"/>
      <c r="AV1387" s="8"/>
      <c r="AW1387" s="8"/>
      <c r="AX1387" s="8"/>
      <c r="AY1387" s="8"/>
      <c r="AZ1387" s="10"/>
    </row>
    <row r="1388" spans="2:52" x14ac:dyDescent="0.35">
      <c r="B1388" s="7"/>
      <c r="C1388" s="8"/>
      <c r="D1388" s="8"/>
      <c r="E1388" s="8"/>
      <c r="F1388" s="8"/>
      <c r="G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  <c r="AD1388" s="8"/>
      <c r="AE1388" s="8"/>
      <c r="AF1388" s="8"/>
      <c r="AG1388" s="8"/>
      <c r="AH1388" s="8"/>
      <c r="AI1388" s="8"/>
      <c r="AJ1388" s="8"/>
      <c r="AK1388" s="8"/>
      <c r="AL1388" s="8"/>
      <c r="AM1388" s="8"/>
      <c r="AN1388" s="8"/>
      <c r="AO1388" s="8"/>
      <c r="AP1388" s="8"/>
      <c r="AQ1388" s="8"/>
      <c r="AR1388" s="8"/>
      <c r="AS1388" s="8"/>
      <c r="AT1388" s="8"/>
      <c r="AU1388" s="8"/>
      <c r="AV1388" s="8"/>
      <c r="AW1388" s="8"/>
      <c r="AX1388" s="8"/>
      <c r="AY1388" s="8"/>
      <c r="AZ1388" s="10"/>
    </row>
    <row r="1389" spans="2:52" x14ac:dyDescent="0.35">
      <c r="B1389" s="7"/>
      <c r="C1389" s="8"/>
      <c r="D1389" s="8"/>
      <c r="E1389" s="8"/>
      <c r="F1389" s="8"/>
      <c r="G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8"/>
      <c r="AD1389" s="8"/>
      <c r="AE1389" s="8"/>
      <c r="AF1389" s="8"/>
      <c r="AG1389" s="8"/>
      <c r="AH1389" s="8"/>
      <c r="AI1389" s="8"/>
      <c r="AJ1389" s="8"/>
      <c r="AK1389" s="8"/>
      <c r="AL1389" s="8"/>
      <c r="AM1389" s="8"/>
      <c r="AN1389" s="8"/>
      <c r="AO1389" s="8"/>
      <c r="AP1389" s="8"/>
      <c r="AQ1389" s="8"/>
      <c r="AR1389" s="8"/>
      <c r="AS1389" s="8"/>
      <c r="AT1389" s="8"/>
      <c r="AU1389" s="8"/>
      <c r="AV1389" s="8"/>
      <c r="AW1389" s="8"/>
      <c r="AX1389" s="8"/>
      <c r="AY1389" s="8"/>
      <c r="AZ1389" s="10"/>
    </row>
    <row r="1390" spans="2:52" x14ac:dyDescent="0.35">
      <c r="B1390" s="7"/>
      <c r="C1390" s="8"/>
      <c r="D1390" s="8"/>
      <c r="E1390" s="8"/>
      <c r="F1390" s="8"/>
      <c r="G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8"/>
      <c r="AE1390" s="8"/>
      <c r="AF1390" s="8"/>
      <c r="AG1390" s="8"/>
      <c r="AH1390" s="8"/>
      <c r="AI1390" s="8"/>
      <c r="AJ1390" s="8"/>
      <c r="AK1390" s="8"/>
      <c r="AL1390" s="8"/>
      <c r="AM1390" s="8"/>
      <c r="AN1390" s="8"/>
      <c r="AO1390" s="8"/>
      <c r="AP1390" s="8"/>
      <c r="AQ1390" s="8"/>
      <c r="AR1390" s="8"/>
      <c r="AS1390" s="8"/>
      <c r="AT1390" s="8"/>
      <c r="AU1390" s="8"/>
      <c r="AV1390" s="8"/>
      <c r="AW1390" s="8"/>
      <c r="AX1390" s="8"/>
      <c r="AY1390" s="8"/>
      <c r="AZ1390" s="10"/>
    </row>
    <row r="1391" spans="2:52" x14ac:dyDescent="0.35">
      <c r="B1391" s="7"/>
      <c r="C1391" s="8"/>
      <c r="D1391" s="8"/>
      <c r="E1391" s="8"/>
      <c r="F1391" s="8"/>
      <c r="G1391" s="8"/>
      <c r="H1391" s="8"/>
      <c r="I1391" s="8"/>
      <c r="J1391" s="8"/>
      <c r="K1391" s="8"/>
      <c r="L1391" s="8"/>
      <c r="M1391" s="8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  <c r="AD1391" s="8"/>
      <c r="AE1391" s="8"/>
      <c r="AF1391" s="8"/>
      <c r="AG1391" s="8"/>
      <c r="AH1391" s="8"/>
      <c r="AI1391" s="8"/>
      <c r="AJ1391" s="8"/>
      <c r="AK1391" s="8"/>
      <c r="AL1391" s="8"/>
      <c r="AM1391" s="8"/>
      <c r="AN1391" s="8"/>
      <c r="AO1391" s="8"/>
      <c r="AP1391" s="8"/>
      <c r="AQ1391" s="8"/>
      <c r="AR1391" s="8"/>
      <c r="AS1391" s="8"/>
      <c r="AT1391" s="8"/>
      <c r="AU1391" s="8"/>
      <c r="AV1391" s="8"/>
      <c r="AW1391" s="8"/>
      <c r="AX1391" s="8"/>
      <c r="AY1391" s="8"/>
      <c r="AZ1391" s="10"/>
    </row>
    <row r="1392" spans="2:52" x14ac:dyDescent="0.35">
      <c r="B1392" s="7"/>
      <c r="C1392" s="8"/>
      <c r="D1392" s="8"/>
      <c r="E1392" s="8"/>
      <c r="F1392" s="8"/>
      <c r="G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  <c r="AD1392" s="8"/>
      <c r="AE1392" s="8"/>
      <c r="AF1392" s="8"/>
      <c r="AG1392" s="8"/>
      <c r="AH1392" s="8"/>
      <c r="AI1392" s="8"/>
      <c r="AJ1392" s="8"/>
      <c r="AK1392" s="8"/>
      <c r="AL1392" s="8"/>
      <c r="AM1392" s="8"/>
      <c r="AN1392" s="8"/>
      <c r="AO1392" s="8"/>
      <c r="AP1392" s="8"/>
      <c r="AQ1392" s="8"/>
      <c r="AR1392" s="8"/>
      <c r="AS1392" s="8"/>
      <c r="AT1392" s="8"/>
      <c r="AU1392" s="8"/>
      <c r="AV1392" s="8"/>
      <c r="AW1392" s="8"/>
      <c r="AX1392" s="8"/>
      <c r="AY1392" s="8"/>
      <c r="AZ1392" s="10"/>
    </row>
    <row r="1393" spans="2:52" x14ac:dyDescent="0.35">
      <c r="B1393" s="7"/>
      <c r="C1393" s="8"/>
      <c r="D1393" s="8"/>
      <c r="E1393" s="8"/>
      <c r="F1393" s="8"/>
      <c r="G1393" s="8"/>
      <c r="H1393" s="8"/>
      <c r="I1393" s="8"/>
      <c r="J1393" s="8"/>
      <c r="K1393" s="8"/>
      <c r="L1393" s="8"/>
      <c r="M1393" s="8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  <c r="AG1393" s="8"/>
      <c r="AH1393" s="8"/>
      <c r="AI1393" s="8"/>
      <c r="AJ1393" s="8"/>
      <c r="AK1393" s="8"/>
      <c r="AL1393" s="8"/>
      <c r="AM1393" s="8"/>
      <c r="AN1393" s="8"/>
      <c r="AO1393" s="8"/>
      <c r="AP1393" s="8"/>
      <c r="AQ1393" s="8"/>
      <c r="AR1393" s="8"/>
      <c r="AS1393" s="8"/>
      <c r="AT1393" s="8"/>
      <c r="AU1393" s="8"/>
      <c r="AV1393" s="8"/>
      <c r="AW1393" s="8"/>
      <c r="AX1393" s="8"/>
      <c r="AY1393" s="8"/>
      <c r="AZ1393" s="10"/>
    </row>
    <row r="1394" spans="2:52" x14ac:dyDescent="0.35">
      <c r="B1394" s="7"/>
      <c r="C1394" s="8"/>
      <c r="D1394" s="8"/>
      <c r="E1394" s="8"/>
      <c r="F1394" s="8"/>
      <c r="G1394" s="8"/>
      <c r="H1394" s="8"/>
      <c r="I1394" s="8"/>
      <c r="J1394" s="8"/>
      <c r="K1394" s="8"/>
      <c r="L1394" s="8"/>
      <c r="M1394" s="8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  <c r="AG1394" s="8"/>
      <c r="AH1394" s="8"/>
      <c r="AI1394" s="8"/>
      <c r="AJ1394" s="8"/>
      <c r="AK1394" s="8"/>
      <c r="AL1394" s="8"/>
      <c r="AM1394" s="8"/>
      <c r="AN1394" s="8"/>
      <c r="AO1394" s="8"/>
      <c r="AP1394" s="8"/>
      <c r="AQ1394" s="8"/>
      <c r="AR1394" s="8"/>
      <c r="AS1394" s="8"/>
      <c r="AT1394" s="8"/>
      <c r="AU1394" s="8"/>
      <c r="AV1394" s="8"/>
      <c r="AW1394" s="8"/>
      <c r="AX1394" s="8"/>
      <c r="AY1394" s="8"/>
      <c r="AZ1394" s="10"/>
    </row>
    <row r="1395" spans="2:52" x14ac:dyDescent="0.35">
      <c r="B1395" s="7"/>
      <c r="C1395" s="8"/>
      <c r="D1395" s="8"/>
      <c r="E1395" s="8"/>
      <c r="F1395" s="8"/>
      <c r="G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  <c r="AG1395" s="8"/>
      <c r="AH1395" s="8"/>
      <c r="AI1395" s="8"/>
      <c r="AJ1395" s="8"/>
      <c r="AK1395" s="8"/>
      <c r="AL1395" s="8"/>
      <c r="AM1395" s="8"/>
      <c r="AN1395" s="8"/>
      <c r="AO1395" s="8"/>
      <c r="AP1395" s="8"/>
      <c r="AQ1395" s="8"/>
      <c r="AR1395" s="8"/>
      <c r="AS1395" s="8"/>
      <c r="AT1395" s="8"/>
      <c r="AU1395" s="8"/>
      <c r="AV1395" s="8"/>
      <c r="AW1395" s="8"/>
      <c r="AX1395" s="8"/>
      <c r="AY1395" s="8"/>
      <c r="AZ1395" s="10"/>
    </row>
    <row r="1396" spans="2:52" x14ac:dyDescent="0.35">
      <c r="B1396" s="7"/>
      <c r="C1396" s="8"/>
      <c r="D1396" s="8"/>
      <c r="E1396" s="8"/>
      <c r="F1396" s="8"/>
      <c r="G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  <c r="AG1396" s="8"/>
      <c r="AH1396" s="8"/>
      <c r="AI1396" s="8"/>
      <c r="AJ1396" s="8"/>
      <c r="AK1396" s="8"/>
      <c r="AL1396" s="8"/>
      <c r="AM1396" s="8"/>
      <c r="AN1396" s="8"/>
      <c r="AO1396" s="8"/>
      <c r="AP1396" s="8"/>
      <c r="AQ1396" s="8"/>
      <c r="AR1396" s="8"/>
      <c r="AS1396" s="8"/>
      <c r="AT1396" s="8"/>
      <c r="AU1396" s="8"/>
      <c r="AV1396" s="8"/>
      <c r="AW1396" s="8"/>
      <c r="AX1396" s="8"/>
      <c r="AY1396" s="8"/>
      <c r="AZ1396" s="10"/>
    </row>
    <row r="1397" spans="2:52" x14ac:dyDescent="0.35">
      <c r="B1397" s="7"/>
      <c r="C1397" s="8"/>
      <c r="D1397" s="8"/>
      <c r="E1397" s="8"/>
      <c r="F1397" s="8"/>
      <c r="G1397" s="8"/>
      <c r="H1397" s="8"/>
      <c r="I1397" s="8"/>
      <c r="J1397" s="8"/>
      <c r="K1397" s="8"/>
      <c r="L1397" s="8"/>
      <c r="M1397" s="8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  <c r="AG1397" s="8"/>
      <c r="AH1397" s="8"/>
      <c r="AI1397" s="8"/>
      <c r="AJ1397" s="8"/>
      <c r="AK1397" s="8"/>
      <c r="AL1397" s="8"/>
      <c r="AM1397" s="8"/>
      <c r="AN1397" s="8"/>
      <c r="AO1397" s="8"/>
      <c r="AP1397" s="8"/>
      <c r="AQ1397" s="8"/>
      <c r="AR1397" s="8"/>
      <c r="AS1397" s="8"/>
      <c r="AT1397" s="8"/>
      <c r="AU1397" s="8"/>
      <c r="AV1397" s="8"/>
      <c r="AW1397" s="8"/>
      <c r="AX1397" s="8"/>
      <c r="AY1397" s="8"/>
      <c r="AZ1397" s="10"/>
    </row>
    <row r="1398" spans="2:52" x14ac:dyDescent="0.35">
      <c r="B1398" s="7"/>
      <c r="C1398" s="8"/>
      <c r="D1398" s="8"/>
      <c r="E1398" s="8"/>
      <c r="F1398" s="8"/>
      <c r="G1398" s="8"/>
      <c r="H1398" s="8"/>
      <c r="I1398" s="8"/>
      <c r="J1398" s="8"/>
      <c r="K1398" s="8"/>
      <c r="L1398" s="8"/>
      <c r="M1398" s="8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  <c r="AD1398" s="8"/>
      <c r="AE1398" s="8"/>
      <c r="AF1398" s="8"/>
      <c r="AG1398" s="8"/>
      <c r="AH1398" s="8"/>
      <c r="AI1398" s="8"/>
      <c r="AJ1398" s="8"/>
      <c r="AK1398" s="8"/>
      <c r="AL1398" s="8"/>
      <c r="AM1398" s="8"/>
      <c r="AN1398" s="8"/>
      <c r="AO1398" s="8"/>
      <c r="AP1398" s="8"/>
      <c r="AQ1398" s="8"/>
      <c r="AR1398" s="8"/>
      <c r="AS1398" s="8"/>
      <c r="AT1398" s="8"/>
      <c r="AU1398" s="8"/>
      <c r="AV1398" s="8"/>
      <c r="AW1398" s="8"/>
      <c r="AX1398" s="8"/>
      <c r="AY1398" s="8"/>
      <c r="AZ1398" s="10"/>
    </row>
    <row r="1399" spans="2:52" x14ac:dyDescent="0.35">
      <c r="B1399" s="7"/>
      <c r="C1399" s="8"/>
      <c r="D1399" s="8"/>
      <c r="E1399" s="8"/>
      <c r="F1399" s="8"/>
      <c r="G1399" s="8"/>
      <c r="H1399" s="8"/>
      <c r="I1399" s="8"/>
      <c r="J1399" s="8"/>
      <c r="K1399" s="8"/>
      <c r="L1399" s="8"/>
      <c r="M1399" s="8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  <c r="AD1399" s="8"/>
      <c r="AE1399" s="8"/>
      <c r="AF1399" s="8"/>
      <c r="AG1399" s="8"/>
      <c r="AH1399" s="8"/>
      <c r="AI1399" s="8"/>
      <c r="AJ1399" s="8"/>
      <c r="AK1399" s="8"/>
      <c r="AL1399" s="8"/>
      <c r="AM1399" s="8"/>
      <c r="AN1399" s="8"/>
      <c r="AO1399" s="8"/>
      <c r="AP1399" s="8"/>
      <c r="AQ1399" s="8"/>
      <c r="AR1399" s="8"/>
      <c r="AS1399" s="8"/>
      <c r="AT1399" s="8"/>
      <c r="AU1399" s="8"/>
      <c r="AV1399" s="8"/>
      <c r="AW1399" s="8"/>
      <c r="AX1399" s="8"/>
      <c r="AY1399" s="8"/>
      <c r="AZ1399" s="10"/>
    </row>
    <row r="1400" spans="2:52" x14ac:dyDescent="0.35">
      <c r="B1400" s="7"/>
      <c r="C1400" s="8"/>
      <c r="D1400" s="8"/>
      <c r="E1400" s="8"/>
      <c r="F1400" s="8"/>
      <c r="G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  <c r="AD1400" s="8"/>
      <c r="AE1400" s="8"/>
      <c r="AF1400" s="8"/>
      <c r="AG1400" s="8"/>
      <c r="AH1400" s="8"/>
      <c r="AI1400" s="8"/>
      <c r="AJ1400" s="8"/>
      <c r="AK1400" s="8"/>
      <c r="AL1400" s="8"/>
      <c r="AM1400" s="8"/>
      <c r="AN1400" s="8"/>
      <c r="AO1400" s="8"/>
      <c r="AP1400" s="8"/>
      <c r="AQ1400" s="8"/>
      <c r="AR1400" s="8"/>
      <c r="AS1400" s="8"/>
      <c r="AT1400" s="8"/>
      <c r="AU1400" s="8"/>
      <c r="AV1400" s="8"/>
      <c r="AW1400" s="8"/>
      <c r="AX1400" s="8"/>
      <c r="AY1400" s="8"/>
      <c r="AZ1400" s="10"/>
    </row>
    <row r="1401" spans="2:52" x14ac:dyDescent="0.35">
      <c r="B1401" s="7"/>
      <c r="C1401" s="8"/>
      <c r="D1401" s="8"/>
      <c r="E1401" s="8"/>
      <c r="F1401" s="8"/>
      <c r="G1401" s="8"/>
      <c r="H1401" s="8"/>
      <c r="I1401" s="8"/>
      <c r="J1401" s="8"/>
      <c r="K1401" s="8"/>
      <c r="L1401" s="8"/>
      <c r="M1401" s="8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  <c r="AD1401" s="8"/>
      <c r="AE1401" s="8"/>
      <c r="AF1401" s="8"/>
      <c r="AG1401" s="8"/>
      <c r="AH1401" s="8"/>
      <c r="AI1401" s="8"/>
      <c r="AJ1401" s="8"/>
      <c r="AK1401" s="8"/>
      <c r="AL1401" s="8"/>
      <c r="AM1401" s="8"/>
      <c r="AN1401" s="8"/>
      <c r="AO1401" s="8"/>
      <c r="AP1401" s="8"/>
      <c r="AQ1401" s="8"/>
      <c r="AR1401" s="8"/>
      <c r="AS1401" s="8"/>
      <c r="AT1401" s="8"/>
      <c r="AU1401" s="8"/>
      <c r="AV1401" s="8"/>
      <c r="AW1401" s="8"/>
      <c r="AX1401" s="8"/>
      <c r="AY1401" s="8"/>
      <c r="AZ1401" s="10"/>
    </row>
    <row r="1402" spans="2:52" x14ac:dyDescent="0.35">
      <c r="B1402" s="7"/>
      <c r="C1402" s="8"/>
      <c r="D1402" s="8"/>
      <c r="E1402" s="8"/>
      <c r="F1402" s="8"/>
      <c r="G1402" s="8"/>
      <c r="H1402" s="8"/>
      <c r="I1402" s="8"/>
      <c r="J1402" s="8"/>
      <c r="K1402" s="8"/>
      <c r="L1402" s="8"/>
      <c r="M1402" s="8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  <c r="AD1402" s="8"/>
      <c r="AE1402" s="8"/>
      <c r="AF1402" s="8"/>
      <c r="AG1402" s="8"/>
      <c r="AH1402" s="8"/>
      <c r="AI1402" s="8"/>
      <c r="AJ1402" s="8"/>
      <c r="AK1402" s="8"/>
      <c r="AL1402" s="8"/>
      <c r="AM1402" s="8"/>
      <c r="AN1402" s="8"/>
      <c r="AO1402" s="8"/>
      <c r="AP1402" s="8"/>
      <c r="AQ1402" s="8"/>
      <c r="AR1402" s="8"/>
      <c r="AS1402" s="8"/>
      <c r="AT1402" s="8"/>
      <c r="AU1402" s="8"/>
      <c r="AV1402" s="8"/>
      <c r="AW1402" s="8"/>
      <c r="AX1402" s="8"/>
      <c r="AY1402" s="8"/>
      <c r="AZ1402" s="10"/>
    </row>
    <row r="1403" spans="2:52" x14ac:dyDescent="0.35">
      <c r="B1403" s="7"/>
      <c r="C1403" s="8"/>
      <c r="D1403" s="8"/>
      <c r="E1403" s="8"/>
      <c r="F1403" s="8"/>
      <c r="G1403" s="8"/>
      <c r="H1403" s="8"/>
      <c r="I1403" s="8"/>
      <c r="J1403" s="8"/>
      <c r="K1403" s="8"/>
      <c r="L1403" s="8"/>
      <c r="M1403" s="8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  <c r="AD1403" s="8"/>
      <c r="AE1403" s="8"/>
      <c r="AF1403" s="8"/>
      <c r="AG1403" s="8"/>
      <c r="AH1403" s="8"/>
      <c r="AI1403" s="8"/>
      <c r="AJ1403" s="8"/>
      <c r="AK1403" s="8"/>
      <c r="AL1403" s="8"/>
      <c r="AM1403" s="8"/>
      <c r="AN1403" s="8"/>
      <c r="AO1403" s="8"/>
      <c r="AP1403" s="8"/>
      <c r="AQ1403" s="8"/>
      <c r="AR1403" s="8"/>
      <c r="AS1403" s="8"/>
      <c r="AT1403" s="8"/>
      <c r="AU1403" s="8"/>
      <c r="AV1403" s="8"/>
      <c r="AW1403" s="8"/>
      <c r="AX1403" s="8"/>
      <c r="AY1403" s="8"/>
      <c r="AZ1403" s="10"/>
    </row>
    <row r="1404" spans="2:52" x14ac:dyDescent="0.35">
      <c r="B1404" s="7"/>
      <c r="C1404" s="8"/>
      <c r="D1404" s="8"/>
      <c r="E1404" s="8"/>
      <c r="F1404" s="8"/>
      <c r="G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  <c r="AD1404" s="8"/>
      <c r="AE1404" s="8"/>
      <c r="AF1404" s="8"/>
      <c r="AG1404" s="8"/>
      <c r="AH1404" s="8"/>
      <c r="AI1404" s="8"/>
      <c r="AJ1404" s="8"/>
      <c r="AK1404" s="8"/>
      <c r="AL1404" s="8"/>
      <c r="AM1404" s="8"/>
      <c r="AN1404" s="8"/>
      <c r="AO1404" s="8"/>
      <c r="AP1404" s="8"/>
      <c r="AQ1404" s="8"/>
      <c r="AR1404" s="8"/>
      <c r="AS1404" s="8"/>
      <c r="AT1404" s="8"/>
      <c r="AU1404" s="8"/>
      <c r="AV1404" s="8"/>
      <c r="AW1404" s="8"/>
      <c r="AX1404" s="8"/>
      <c r="AY1404" s="8"/>
      <c r="AZ1404" s="10"/>
    </row>
    <row r="1405" spans="2:52" x14ac:dyDescent="0.35">
      <c r="B1405" s="7"/>
      <c r="C1405" s="8"/>
      <c r="D1405" s="8"/>
      <c r="E1405" s="8"/>
      <c r="F1405" s="8"/>
      <c r="G1405" s="8"/>
      <c r="H1405" s="8"/>
      <c r="I1405" s="8"/>
      <c r="J1405" s="8"/>
      <c r="K1405" s="8"/>
      <c r="L1405" s="8"/>
      <c r="M1405" s="8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  <c r="AD1405" s="8"/>
      <c r="AE1405" s="8"/>
      <c r="AF1405" s="8"/>
      <c r="AG1405" s="8"/>
      <c r="AH1405" s="8"/>
      <c r="AI1405" s="8"/>
      <c r="AJ1405" s="8"/>
      <c r="AK1405" s="8"/>
      <c r="AL1405" s="8"/>
      <c r="AM1405" s="8"/>
      <c r="AN1405" s="8"/>
      <c r="AO1405" s="8"/>
      <c r="AP1405" s="8"/>
      <c r="AQ1405" s="8"/>
      <c r="AR1405" s="8"/>
      <c r="AS1405" s="8"/>
      <c r="AT1405" s="8"/>
      <c r="AU1405" s="8"/>
      <c r="AV1405" s="8"/>
      <c r="AW1405" s="8"/>
      <c r="AX1405" s="8"/>
      <c r="AY1405" s="8"/>
      <c r="AZ1405" s="10"/>
    </row>
    <row r="1406" spans="2:52" x14ac:dyDescent="0.35">
      <c r="B1406" s="7"/>
      <c r="C1406" s="8"/>
      <c r="D1406" s="8"/>
      <c r="E1406" s="8"/>
      <c r="F1406" s="8"/>
      <c r="G1406" s="8"/>
      <c r="H1406" s="8"/>
      <c r="I1406" s="8"/>
      <c r="J1406" s="8"/>
      <c r="K1406" s="8"/>
      <c r="L1406" s="8"/>
      <c r="M1406" s="8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8"/>
      <c r="AE1406" s="8"/>
      <c r="AF1406" s="8"/>
      <c r="AG1406" s="8"/>
      <c r="AH1406" s="8"/>
      <c r="AI1406" s="8"/>
      <c r="AJ1406" s="8"/>
      <c r="AK1406" s="8"/>
      <c r="AL1406" s="8"/>
      <c r="AM1406" s="8"/>
      <c r="AN1406" s="8"/>
      <c r="AO1406" s="8"/>
      <c r="AP1406" s="8"/>
      <c r="AQ1406" s="8"/>
      <c r="AR1406" s="8"/>
      <c r="AS1406" s="8"/>
      <c r="AT1406" s="8"/>
      <c r="AU1406" s="8"/>
      <c r="AV1406" s="8"/>
      <c r="AW1406" s="8"/>
      <c r="AX1406" s="8"/>
      <c r="AY1406" s="8"/>
      <c r="AZ1406" s="10"/>
    </row>
    <row r="1407" spans="2:52" x14ac:dyDescent="0.35">
      <c r="B1407" s="7"/>
      <c r="C1407" s="8"/>
      <c r="D1407" s="8"/>
      <c r="E1407" s="8"/>
      <c r="F1407" s="8"/>
      <c r="G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8"/>
      <c r="AE1407" s="8"/>
      <c r="AF1407" s="8"/>
      <c r="AG1407" s="8"/>
      <c r="AH1407" s="8"/>
      <c r="AI1407" s="8"/>
      <c r="AJ1407" s="8"/>
      <c r="AK1407" s="8"/>
      <c r="AL1407" s="8"/>
      <c r="AM1407" s="8"/>
      <c r="AN1407" s="8"/>
      <c r="AO1407" s="8"/>
      <c r="AP1407" s="8"/>
      <c r="AQ1407" s="8"/>
      <c r="AR1407" s="8"/>
      <c r="AS1407" s="8"/>
      <c r="AT1407" s="8"/>
      <c r="AU1407" s="8"/>
      <c r="AV1407" s="8"/>
      <c r="AW1407" s="8"/>
      <c r="AX1407" s="8"/>
      <c r="AY1407" s="8"/>
      <c r="AZ1407" s="10"/>
    </row>
    <row r="1408" spans="2:52" x14ac:dyDescent="0.35">
      <c r="B1408" s="7"/>
      <c r="C1408" s="8"/>
      <c r="D1408" s="8"/>
      <c r="E1408" s="8"/>
      <c r="F1408" s="8"/>
      <c r="G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8"/>
      <c r="AE1408" s="8"/>
      <c r="AF1408" s="8"/>
      <c r="AG1408" s="8"/>
      <c r="AH1408" s="8"/>
      <c r="AI1408" s="8"/>
      <c r="AJ1408" s="8"/>
      <c r="AK1408" s="8"/>
      <c r="AL1408" s="8"/>
      <c r="AM1408" s="8"/>
      <c r="AN1408" s="8"/>
      <c r="AO1408" s="8"/>
      <c r="AP1408" s="8"/>
      <c r="AQ1408" s="8"/>
      <c r="AR1408" s="8"/>
      <c r="AS1408" s="8"/>
      <c r="AT1408" s="8"/>
      <c r="AU1408" s="8"/>
      <c r="AV1408" s="8"/>
      <c r="AW1408" s="8"/>
      <c r="AX1408" s="8"/>
      <c r="AY1408" s="8"/>
      <c r="AZ1408" s="10"/>
    </row>
    <row r="1409" spans="2:52" x14ac:dyDescent="0.35">
      <c r="B1409" s="7"/>
      <c r="C1409" s="8"/>
      <c r="D1409" s="8"/>
      <c r="E1409" s="8"/>
      <c r="F1409" s="8"/>
      <c r="G1409" s="8"/>
      <c r="H1409" s="8"/>
      <c r="I1409" s="8"/>
      <c r="J1409" s="8"/>
      <c r="K1409" s="8"/>
      <c r="L1409" s="8"/>
      <c r="M1409" s="8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8"/>
      <c r="AD1409" s="8"/>
      <c r="AE1409" s="8"/>
      <c r="AF1409" s="8"/>
      <c r="AG1409" s="8"/>
      <c r="AH1409" s="8"/>
      <c r="AI1409" s="8"/>
      <c r="AJ1409" s="8"/>
      <c r="AK1409" s="8"/>
      <c r="AL1409" s="8"/>
      <c r="AM1409" s="8"/>
      <c r="AN1409" s="8"/>
      <c r="AO1409" s="8"/>
      <c r="AP1409" s="8"/>
      <c r="AQ1409" s="8"/>
      <c r="AR1409" s="8"/>
      <c r="AS1409" s="8"/>
      <c r="AT1409" s="8"/>
      <c r="AU1409" s="8"/>
      <c r="AV1409" s="8"/>
      <c r="AW1409" s="8"/>
      <c r="AX1409" s="8"/>
      <c r="AY1409" s="8"/>
      <c r="AZ1409" s="10"/>
    </row>
    <row r="1410" spans="2:52" x14ac:dyDescent="0.35">
      <c r="B1410" s="7"/>
      <c r="C1410" s="8"/>
      <c r="D1410" s="8"/>
      <c r="E1410" s="8"/>
      <c r="F1410" s="8"/>
      <c r="G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8"/>
      <c r="AD1410" s="8"/>
      <c r="AE1410" s="8"/>
      <c r="AF1410" s="8"/>
      <c r="AG1410" s="8"/>
      <c r="AH1410" s="8"/>
      <c r="AI1410" s="8"/>
      <c r="AJ1410" s="8"/>
      <c r="AK1410" s="8"/>
      <c r="AL1410" s="8"/>
      <c r="AM1410" s="8"/>
      <c r="AN1410" s="8"/>
      <c r="AO1410" s="8"/>
      <c r="AP1410" s="8"/>
      <c r="AQ1410" s="8"/>
      <c r="AR1410" s="8"/>
      <c r="AS1410" s="8"/>
      <c r="AT1410" s="8"/>
      <c r="AU1410" s="8"/>
      <c r="AV1410" s="8"/>
      <c r="AW1410" s="8"/>
      <c r="AX1410" s="8"/>
      <c r="AY1410" s="8"/>
      <c r="AZ1410" s="10"/>
    </row>
    <row r="1411" spans="2:52" x14ac:dyDescent="0.35">
      <c r="B1411" s="7"/>
      <c r="C1411" s="8"/>
      <c r="D1411" s="8"/>
      <c r="E1411" s="8"/>
      <c r="F1411" s="8"/>
      <c r="G1411" s="8"/>
      <c r="H1411" s="8"/>
      <c r="I1411" s="8"/>
      <c r="J1411" s="8"/>
      <c r="K1411" s="8"/>
      <c r="L1411" s="8"/>
      <c r="M1411" s="8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8"/>
      <c r="AD1411" s="8"/>
      <c r="AE1411" s="8"/>
      <c r="AF1411" s="8"/>
      <c r="AG1411" s="8"/>
      <c r="AH1411" s="8"/>
      <c r="AI1411" s="8"/>
      <c r="AJ1411" s="8"/>
      <c r="AK1411" s="8"/>
      <c r="AL1411" s="8"/>
      <c r="AM1411" s="8"/>
      <c r="AN1411" s="8"/>
      <c r="AO1411" s="8"/>
      <c r="AP1411" s="8"/>
      <c r="AQ1411" s="8"/>
      <c r="AR1411" s="8"/>
      <c r="AS1411" s="8"/>
      <c r="AT1411" s="8"/>
      <c r="AU1411" s="8"/>
      <c r="AV1411" s="8"/>
      <c r="AW1411" s="8"/>
      <c r="AX1411" s="8"/>
      <c r="AY1411" s="8"/>
      <c r="AZ1411" s="10"/>
    </row>
    <row r="1412" spans="2:52" x14ac:dyDescent="0.35">
      <c r="B1412" s="7"/>
      <c r="C1412" s="8"/>
      <c r="D1412" s="8"/>
      <c r="E1412" s="8"/>
      <c r="F1412" s="8"/>
      <c r="G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  <c r="AD1412" s="8"/>
      <c r="AE1412" s="8"/>
      <c r="AF1412" s="8"/>
      <c r="AG1412" s="8"/>
      <c r="AH1412" s="8"/>
      <c r="AI1412" s="8"/>
      <c r="AJ1412" s="8"/>
      <c r="AK1412" s="8"/>
      <c r="AL1412" s="8"/>
      <c r="AM1412" s="8"/>
      <c r="AN1412" s="8"/>
      <c r="AO1412" s="8"/>
      <c r="AP1412" s="8"/>
      <c r="AQ1412" s="8"/>
      <c r="AR1412" s="8"/>
      <c r="AS1412" s="8"/>
      <c r="AT1412" s="8"/>
      <c r="AU1412" s="8"/>
      <c r="AV1412" s="8"/>
      <c r="AW1412" s="8"/>
      <c r="AX1412" s="8"/>
      <c r="AY1412" s="8"/>
      <c r="AZ1412" s="10"/>
    </row>
    <row r="1413" spans="2:52" x14ac:dyDescent="0.35">
      <c r="B1413" s="7"/>
      <c r="C1413" s="8"/>
      <c r="D1413" s="8"/>
      <c r="E1413" s="8"/>
      <c r="F1413" s="8"/>
      <c r="G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  <c r="AD1413" s="8"/>
      <c r="AE1413" s="8"/>
      <c r="AF1413" s="8"/>
      <c r="AG1413" s="8"/>
      <c r="AH1413" s="8"/>
      <c r="AI1413" s="8"/>
      <c r="AJ1413" s="8"/>
      <c r="AK1413" s="8"/>
      <c r="AL1413" s="8"/>
      <c r="AM1413" s="8"/>
      <c r="AN1413" s="8"/>
      <c r="AO1413" s="8"/>
      <c r="AP1413" s="8"/>
      <c r="AQ1413" s="8"/>
      <c r="AR1413" s="8"/>
      <c r="AS1413" s="8"/>
      <c r="AT1413" s="8"/>
      <c r="AU1413" s="8"/>
      <c r="AV1413" s="8"/>
      <c r="AW1413" s="8"/>
      <c r="AX1413" s="8"/>
      <c r="AY1413" s="8"/>
      <c r="AZ1413" s="10"/>
    </row>
    <row r="1414" spans="2:52" x14ac:dyDescent="0.35">
      <c r="B1414" s="7"/>
      <c r="C1414" s="8"/>
      <c r="D1414" s="8"/>
      <c r="E1414" s="8"/>
      <c r="F1414" s="8"/>
      <c r="G1414" s="8"/>
      <c r="H1414" s="8"/>
      <c r="I1414" s="8"/>
      <c r="J1414" s="8"/>
      <c r="K1414" s="8"/>
      <c r="L1414" s="8"/>
      <c r="M1414" s="8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  <c r="AD1414" s="8"/>
      <c r="AE1414" s="8"/>
      <c r="AF1414" s="8"/>
      <c r="AG1414" s="8"/>
      <c r="AH1414" s="8"/>
      <c r="AI1414" s="8"/>
      <c r="AJ1414" s="8"/>
      <c r="AK1414" s="8"/>
      <c r="AL1414" s="8"/>
      <c r="AM1414" s="8"/>
      <c r="AN1414" s="8"/>
      <c r="AO1414" s="8"/>
      <c r="AP1414" s="8"/>
      <c r="AQ1414" s="8"/>
      <c r="AR1414" s="8"/>
      <c r="AS1414" s="8"/>
      <c r="AT1414" s="8"/>
      <c r="AU1414" s="8"/>
      <c r="AV1414" s="8"/>
      <c r="AW1414" s="8"/>
      <c r="AX1414" s="8"/>
      <c r="AY1414" s="8"/>
      <c r="AZ1414" s="10"/>
    </row>
    <row r="1415" spans="2:52" x14ac:dyDescent="0.35">
      <c r="B1415" s="7"/>
      <c r="C1415" s="8"/>
      <c r="D1415" s="8"/>
      <c r="E1415" s="8"/>
      <c r="F1415" s="8"/>
      <c r="G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  <c r="AD1415" s="8"/>
      <c r="AE1415" s="8"/>
      <c r="AF1415" s="8"/>
      <c r="AG1415" s="8"/>
      <c r="AH1415" s="8"/>
      <c r="AI1415" s="8"/>
      <c r="AJ1415" s="8"/>
      <c r="AK1415" s="8"/>
      <c r="AL1415" s="8"/>
      <c r="AM1415" s="8"/>
      <c r="AN1415" s="8"/>
      <c r="AO1415" s="8"/>
      <c r="AP1415" s="8"/>
      <c r="AQ1415" s="8"/>
      <c r="AR1415" s="8"/>
      <c r="AS1415" s="8"/>
      <c r="AT1415" s="8"/>
      <c r="AU1415" s="8"/>
      <c r="AV1415" s="8"/>
      <c r="AW1415" s="8"/>
      <c r="AX1415" s="8"/>
      <c r="AY1415" s="8"/>
      <c r="AZ1415" s="10"/>
    </row>
    <row r="1416" spans="2:52" x14ac:dyDescent="0.35">
      <c r="B1416" s="7"/>
      <c r="C1416" s="8"/>
      <c r="D1416" s="8"/>
      <c r="E1416" s="8"/>
      <c r="F1416" s="8"/>
      <c r="G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  <c r="AD1416" s="8"/>
      <c r="AE1416" s="8"/>
      <c r="AF1416" s="8"/>
      <c r="AG1416" s="8"/>
      <c r="AH1416" s="8"/>
      <c r="AI1416" s="8"/>
      <c r="AJ1416" s="8"/>
      <c r="AK1416" s="8"/>
      <c r="AL1416" s="8"/>
      <c r="AM1416" s="8"/>
      <c r="AN1416" s="8"/>
      <c r="AO1416" s="8"/>
      <c r="AP1416" s="8"/>
      <c r="AQ1416" s="8"/>
      <c r="AR1416" s="8"/>
      <c r="AS1416" s="8"/>
      <c r="AT1416" s="8"/>
      <c r="AU1416" s="8"/>
      <c r="AV1416" s="8"/>
      <c r="AW1416" s="8"/>
      <c r="AX1416" s="8"/>
      <c r="AY1416" s="8"/>
      <c r="AZ1416" s="10"/>
    </row>
    <row r="1417" spans="2:52" x14ac:dyDescent="0.35">
      <c r="B1417" s="7"/>
      <c r="C1417" s="8"/>
      <c r="D1417" s="8"/>
      <c r="E1417" s="8"/>
      <c r="F1417" s="8"/>
      <c r="G1417" s="8"/>
      <c r="H1417" s="8"/>
      <c r="I1417" s="8"/>
      <c r="J1417" s="8"/>
      <c r="K1417" s="8"/>
      <c r="L1417" s="8"/>
      <c r="M1417" s="8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8"/>
      <c r="AD1417" s="8"/>
      <c r="AE1417" s="8"/>
      <c r="AF1417" s="8"/>
      <c r="AG1417" s="8"/>
      <c r="AH1417" s="8"/>
      <c r="AI1417" s="8"/>
      <c r="AJ1417" s="8"/>
      <c r="AK1417" s="8"/>
      <c r="AL1417" s="8"/>
      <c r="AM1417" s="8"/>
      <c r="AN1417" s="8"/>
      <c r="AO1417" s="8"/>
      <c r="AP1417" s="8"/>
      <c r="AQ1417" s="8"/>
      <c r="AR1417" s="8"/>
      <c r="AS1417" s="8"/>
      <c r="AT1417" s="8"/>
      <c r="AU1417" s="8"/>
      <c r="AV1417" s="8"/>
      <c r="AW1417" s="8"/>
      <c r="AX1417" s="8"/>
      <c r="AY1417" s="8"/>
      <c r="AZ1417" s="10"/>
    </row>
    <row r="1418" spans="2:52" x14ac:dyDescent="0.35">
      <c r="B1418" s="7"/>
      <c r="C1418" s="8"/>
      <c r="D1418" s="8"/>
      <c r="E1418" s="8"/>
      <c r="F1418" s="8"/>
      <c r="G1418" s="8"/>
      <c r="H1418" s="8"/>
      <c r="I1418" s="8"/>
      <c r="J1418" s="8"/>
      <c r="K1418" s="8"/>
      <c r="L1418" s="8"/>
      <c r="M1418" s="8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8"/>
      <c r="AD1418" s="8"/>
      <c r="AE1418" s="8"/>
      <c r="AF1418" s="8"/>
      <c r="AG1418" s="8"/>
      <c r="AH1418" s="8"/>
      <c r="AI1418" s="8"/>
      <c r="AJ1418" s="8"/>
      <c r="AK1418" s="8"/>
      <c r="AL1418" s="8"/>
      <c r="AM1418" s="8"/>
      <c r="AN1418" s="8"/>
      <c r="AO1418" s="8"/>
      <c r="AP1418" s="8"/>
      <c r="AQ1418" s="8"/>
      <c r="AR1418" s="8"/>
      <c r="AS1418" s="8"/>
      <c r="AT1418" s="8"/>
      <c r="AU1418" s="8"/>
      <c r="AV1418" s="8"/>
      <c r="AW1418" s="8"/>
      <c r="AX1418" s="8"/>
      <c r="AY1418" s="8"/>
      <c r="AZ1418" s="10"/>
    </row>
    <row r="1419" spans="2:52" x14ac:dyDescent="0.35">
      <c r="B1419" s="7"/>
      <c r="C1419" s="8"/>
      <c r="D1419" s="8"/>
      <c r="E1419" s="8"/>
      <c r="F1419" s="8"/>
      <c r="G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8"/>
      <c r="AD1419" s="8"/>
      <c r="AE1419" s="8"/>
      <c r="AF1419" s="8"/>
      <c r="AG1419" s="8"/>
      <c r="AH1419" s="8"/>
      <c r="AI1419" s="8"/>
      <c r="AJ1419" s="8"/>
      <c r="AK1419" s="8"/>
      <c r="AL1419" s="8"/>
      <c r="AM1419" s="8"/>
      <c r="AN1419" s="8"/>
      <c r="AO1419" s="8"/>
      <c r="AP1419" s="8"/>
      <c r="AQ1419" s="8"/>
      <c r="AR1419" s="8"/>
      <c r="AS1419" s="8"/>
      <c r="AT1419" s="8"/>
      <c r="AU1419" s="8"/>
      <c r="AV1419" s="8"/>
      <c r="AW1419" s="8"/>
      <c r="AX1419" s="8"/>
      <c r="AY1419" s="8"/>
      <c r="AZ1419" s="10"/>
    </row>
    <row r="1420" spans="2:52" x14ac:dyDescent="0.35">
      <c r="B1420" s="7"/>
      <c r="C1420" s="8"/>
      <c r="D1420" s="8"/>
      <c r="E1420" s="8"/>
      <c r="F1420" s="8"/>
      <c r="G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  <c r="AD1420" s="8"/>
      <c r="AE1420" s="8"/>
      <c r="AF1420" s="8"/>
      <c r="AG1420" s="8"/>
      <c r="AH1420" s="8"/>
      <c r="AI1420" s="8"/>
      <c r="AJ1420" s="8"/>
      <c r="AK1420" s="8"/>
      <c r="AL1420" s="8"/>
      <c r="AM1420" s="8"/>
      <c r="AN1420" s="8"/>
      <c r="AO1420" s="8"/>
      <c r="AP1420" s="8"/>
      <c r="AQ1420" s="8"/>
      <c r="AR1420" s="8"/>
      <c r="AS1420" s="8"/>
      <c r="AT1420" s="8"/>
      <c r="AU1420" s="8"/>
      <c r="AV1420" s="8"/>
      <c r="AW1420" s="8"/>
      <c r="AX1420" s="8"/>
      <c r="AY1420" s="8"/>
      <c r="AZ1420" s="10"/>
    </row>
    <row r="1421" spans="2:52" x14ac:dyDescent="0.35">
      <c r="B1421" s="7"/>
      <c r="C1421" s="8"/>
      <c r="D1421" s="8"/>
      <c r="E1421" s="8"/>
      <c r="F1421" s="8"/>
      <c r="G1421" s="8"/>
      <c r="H1421" s="8"/>
      <c r="I1421" s="8"/>
      <c r="J1421" s="8"/>
      <c r="K1421" s="8"/>
      <c r="L1421" s="8"/>
      <c r="M1421" s="8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8"/>
      <c r="AD1421" s="8"/>
      <c r="AE1421" s="8"/>
      <c r="AF1421" s="8"/>
      <c r="AG1421" s="8"/>
      <c r="AH1421" s="8"/>
      <c r="AI1421" s="8"/>
      <c r="AJ1421" s="8"/>
      <c r="AK1421" s="8"/>
      <c r="AL1421" s="8"/>
      <c r="AM1421" s="8"/>
      <c r="AN1421" s="8"/>
      <c r="AO1421" s="8"/>
      <c r="AP1421" s="8"/>
      <c r="AQ1421" s="8"/>
      <c r="AR1421" s="8"/>
      <c r="AS1421" s="8"/>
      <c r="AT1421" s="8"/>
      <c r="AU1421" s="8"/>
      <c r="AV1421" s="8"/>
      <c r="AW1421" s="8"/>
      <c r="AX1421" s="8"/>
      <c r="AY1421" s="8"/>
      <c r="AZ1421" s="10"/>
    </row>
    <row r="1422" spans="2:52" x14ac:dyDescent="0.35">
      <c r="B1422" s="7"/>
      <c r="C1422" s="8"/>
      <c r="D1422" s="8"/>
      <c r="E1422" s="8"/>
      <c r="F1422" s="8"/>
      <c r="G1422" s="8"/>
      <c r="H1422" s="8"/>
      <c r="I1422" s="8"/>
      <c r="J1422" s="8"/>
      <c r="K1422" s="8"/>
      <c r="L1422" s="8"/>
      <c r="M1422" s="8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8"/>
      <c r="AD1422" s="8"/>
      <c r="AE1422" s="8"/>
      <c r="AF1422" s="8"/>
      <c r="AG1422" s="8"/>
      <c r="AH1422" s="8"/>
      <c r="AI1422" s="8"/>
      <c r="AJ1422" s="8"/>
      <c r="AK1422" s="8"/>
      <c r="AL1422" s="8"/>
      <c r="AM1422" s="8"/>
      <c r="AN1422" s="8"/>
      <c r="AO1422" s="8"/>
      <c r="AP1422" s="8"/>
      <c r="AQ1422" s="8"/>
      <c r="AR1422" s="8"/>
      <c r="AS1422" s="8"/>
      <c r="AT1422" s="8"/>
      <c r="AU1422" s="8"/>
      <c r="AV1422" s="8"/>
      <c r="AW1422" s="8"/>
      <c r="AX1422" s="8"/>
      <c r="AY1422" s="8"/>
      <c r="AZ1422" s="10"/>
    </row>
    <row r="1423" spans="2:52" x14ac:dyDescent="0.35">
      <c r="B1423" s="7"/>
      <c r="C1423" s="8"/>
      <c r="D1423" s="8"/>
      <c r="E1423" s="8"/>
      <c r="F1423" s="8"/>
      <c r="G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8"/>
      <c r="AD1423" s="8"/>
      <c r="AE1423" s="8"/>
      <c r="AF1423" s="8"/>
      <c r="AG1423" s="8"/>
      <c r="AH1423" s="8"/>
      <c r="AI1423" s="8"/>
      <c r="AJ1423" s="8"/>
      <c r="AK1423" s="8"/>
      <c r="AL1423" s="8"/>
      <c r="AM1423" s="8"/>
      <c r="AN1423" s="8"/>
      <c r="AO1423" s="8"/>
      <c r="AP1423" s="8"/>
      <c r="AQ1423" s="8"/>
      <c r="AR1423" s="8"/>
      <c r="AS1423" s="8"/>
      <c r="AT1423" s="8"/>
      <c r="AU1423" s="8"/>
      <c r="AV1423" s="8"/>
      <c r="AW1423" s="8"/>
      <c r="AX1423" s="8"/>
      <c r="AY1423" s="8"/>
      <c r="AZ1423" s="10"/>
    </row>
    <row r="1424" spans="2:52" x14ac:dyDescent="0.35">
      <c r="B1424" s="7"/>
      <c r="C1424" s="8"/>
      <c r="D1424" s="8"/>
      <c r="E1424" s="8"/>
      <c r="F1424" s="8"/>
      <c r="G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  <c r="AD1424" s="8"/>
      <c r="AE1424" s="8"/>
      <c r="AF1424" s="8"/>
      <c r="AG1424" s="8"/>
      <c r="AH1424" s="8"/>
      <c r="AI1424" s="8"/>
      <c r="AJ1424" s="8"/>
      <c r="AK1424" s="8"/>
      <c r="AL1424" s="8"/>
      <c r="AM1424" s="8"/>
      <c r="AN1424" s="8"/>
      <c r="AO1424" s="8"/>
      <c r="AP1424" s="8"/>
      <c r="AQ1424" s="8"/>
      <c r="AR1424" s="8"/>
      <c r="AS1424" s="8"/>
      <c r="AT1424" s="8"/>
      <c r="AU1424" s="8"/>
      <c r="AV1424" s="8"/>
      <c r="AW1424" s="8"/>
      <c r="AX1424" s="8"/>
      <c r="AY1424" s="8"/>
      <c r="AZ1424" s="10"/>
    </row>
    <row r="1425" spans="2:52" x14ac:dyDescent="0.35">
      <c r="B1425" s="7"/>
      <c r="C1425" s="8"/>
      <c r="D1425" s="8"/>
      <c r="E1425" s="8"/>
      <c r="F1425" s="8"/>
      <c r="G1425" s="8"/>
      <c r="H1425" s="8"/>
      <c r="I1425" s="8"/>
      <c r="J1425" s="8"/>
      <c r="K1425" s="8"/>
      <c r="L1425" s="8"/>
      <c r="M1425" s="8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  <c r="AD1425" s="8"/>
      <c r="AE1425" s="8"/>
      <c r="AF1425" s="8"/>
      <c r="AG1425" s="8"/>
      <c r="AH1425" s="8"/>
      <c r="AI1425" s="8"/>
      <c r="AJ1425" s="8"/>
      <c r="AK1425" s="8"/>
      <c r="AL1425" s="8"/>
      <c r="AM1425" s="8"/>
      <c r="AN1425" s="8"/>
      <c r="AO1425" s="8"/>
      <c r="AP1425" s="8"/>
      <c r="AQ1425" s="8"/>
      <c r="AR1425" s="8"/>
      <c r="AS1425" s="8"/>
      <c r="AT1425" s="8"/>
      <c r="AU1425" s="8"/>
      <c r="AV1425" s="8"/>
      <c r="AW1425" s="8"/>
      <c r="AX1425" s="8"/>
      <c r="AY1425" s="8"/>
      <c r="AZ1425" s="10"/>
    </row>
    <row r="1426" spans="2:52" x14ac:dyDescent="0.35">
      <c r="B1426" s="7"/>
      <c r="C1426" s="8"/>
      <c r="D1426" s="8"/>
      <c r="E1426" s="8"/>
      <c r="F1426" s="8"/>
      <c r="G1426" s="8"/>
      <c r="H1426" s="8"/>
      <c r="I1426" s="8"/>
      <c r="J1426" s="8"/>
      <c r="K1426" s="8"/>
      <c r="L1426" s="8"/>
      <c r="M1426" s="8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  <c r="AD1426" s="8"/>
      <c r="AE1426" s="8"/>
      <c r="AF1426" s="8"/>
      <c r="AG1426" s="8"/>
      <c r="AH1426" s="8"/>
      <c r="AI1426" s="8"/>
      <c r="AJ1426" s="8"/>
      <c r="AK1426" s="8"/>
      <c r="AL1426" s="8"/>
      <c r="AM1426" s="8"/>
      <c r="AN1426" s="8"/>
      <c r="AO1426" s="8"/>
      <c r="AP1426" s="8"/>
      <c r="AQ1426" s="8"/>
      <c r="AR1426" s="8"/>
      <c r="AS1426" s="8"/>
      <c r="AT1426" s="8"/>
      <c r="AU1426" s="8"/>
      <c r="AV1426" s="8"/>
      <c r="AW1426" s="8"/>
      <c r="AX1426" s="8"/>
      <c r="AY1426" s="8"/>
      <c r="AZ1426" s="10"/>
    </row>
    <row r="1427" spans="2:52" x14ac:dyDescent="0.35">
      <c r="B1427" s="7"/>
      <c r="C1427" s="8"/>
      <c r="D1427" s="8"/>
      <c r="E1427" s="8"/>
      <c r="F1427" s="8"/>
      <c r="G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  <c r="AD1427" s="8"/>
      <c r="AE1427" s="8"/>
      <c r="AF1427" s="8"/>
      <c r="AG1427" s="8"/>
      <c r="AH1427" s="8"/>
      <c r="AI1427" s="8"/>
      <c r="AJ1427" s="8"/>
      <c r="AK1427" s="8"/>
      <c r="AL1427" s="8"/>
      <c r="AM1427" s="8"/>
      <c r="AN1427" s="8"/>
      <c r="AO1427" s="8"/>
      <c r="AP1427" s="8"/>
      <c r="AQ1427" s="8"/>
      <c r="AR1427" s="8"/>
      <c r="AS1427" s="8"/>
      <c r="AT1427" s="8"/>
      <c r="AU1427" s="8"/>
      <c r="AV1427" s="8"/>
      <c r="AW1427" s="8"/>
      <c r="AX1427" s="8"/>
      <c r="AY1427" s="8"/>
      <c r="AZ1427" s="10"/>
    </row>
    <row r="1428" spans="2:52" x14ac:dyDescent="0.35">
      <c r="B1428" s="7"/>
      <c r="C1428" s="8"/>
      <c r="D1428" s="8"/>
      <c r="E1428" s="8"/>
      <c r="F1428" s="8"/>
      <c r="G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8"/>
      <c r="AD1428" s="8"/>
      <c r="AE1428" s="8"/>
      <c r="AF1428" s="8"/>
      <c r="AG1428" s="8"/>
      <c r="AH1428" s="8"/>
      <c r="AI1428" s="8"/>
      <c r="AJ1428" s="8"/>
      <c r="AK1428" s="8"/>
      <c r="AL1428" s="8"/>
      <c r="AM1428" s="8"/>
      <c r="AN1428" s="8"/>
      <c r="AO1428" s="8"/>
      <c r="AP1428" s="8"/>
      <c r="AQ1428" s="8"/>
      <c r="AR1428" s="8"/>
      <c r="AS1428" s="8"/>
      <c r="AT1428" s="8"/>
      <c r="AU1428" s="8"/>
      <c r="AV1428" s="8"/>
      <c r="AW1428" s="8"/>
      <c r="AX1428" s="8"/>
      <c r="AY1428" s="8"/>
      <c r="AZ1428" s="10"/>
    </row>
    <row r="1429" spans="2:52" x14ac:dyDescent="0.35">
      <c r="B1429" s="7"/>
      <c r="C1429" s="8"/>
      <c r="D1429" s="8"/>
      <c r="E1429" s="8"/>
      <c r="F1429" s="8"/>
      <c r="G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  <c r="AD1429" s="8"/>
      <c r="AE1429" s="8"/>
      <c r="AF1429" s="8"/>
      <c r="AG1429" s="8"/>
      <c r="AH1429" s="8"/>
      <c r="AI1429" s="8"/>
      <c r="AJ1429" s="8"/>
      <c r="AK1429" s="8"/>
      <c r="AL1429" s="8"/>
      <c r="AM1429" s="8"/>
      <c r="AN1429" s="8"/>
      <c r="AO1429" s="8"/>
      <c r="AP1429" s="8"/>
      <c r="AQ1429" s="8"/>
      <c r="AR1429" s="8"/>
      <c r="AS1429" s="8"/>
      <c r="AT1429" s="8"/>
      <c r="AU1429" s="8"/>
      <c r="AV1429" s="8"/>
      <c r="AW1429" s="8"/>
      <c r="AX1429" s="8"/>
      <c r="AY1429" s="8"/>
      <c r="AZ1429" s="10"/>
    </row>
    <row r="1430" spans="2:52" x14ac:dyDescent="0.35">
      <c r="B1430" s="7"/>
      <c r="C1430" s="8"/>
      <c r="D1430" s="8"/>
      <c r="E1430" s="8"/>
      <c r="F1430" s="8"/>
      <c r="G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  <c r="AD1430" s="8"/>
      <c r="AE1430" s="8"/>
      <c r="AF1430" s="8"/>
      <c r="AG1430" s="8"/>
      <c r="AH1430" s="8"/>
      <c r="AI1430" s="8"/>
      <c r="AJ1430" s="8"/>
      <c r="AK1430" s="8"/>
      <c r="AL1430" s="8"/>
      <c r="AM1430" s="8"/>
      <c r="AN1430" s="8"/>
      <c r="AO1430" s="8"/>
      <c r="AP1430" s="8"/>
      <c r="AQ1430" s="8"/>
      <c r="AR1430" s="8"/>
      <c r="AS1430" s="8"/>
      <c r="AT1430" s="8"/>
      <c r="AU1430" s="8"/>
      <c r="AV1430" s="8"/>
      <c r="AW1430" s="8"/>
      <c r="AX1430" s="8"/>
      <c r="AY1430" s="8"/>
      <c r="AZ1430" s="10"/>
    </row>
    <row r="1431" spans="2:52" x14ac:dyDescent="0.35">
      <c r="B1431" s="7"/>
      <c r="C1431" s="8"/>
      <c r="D1431" s="8"/>
      <c r="E1431" s="8"/>
      <c r="F1431" s="8"/>
      <c r="G1431" s="8"/>
      <c r="H1431" s="8"/>
      <c r="I1431" s="8"/>
      <c r="J1431" s="8"/>
      <c r="K1431" s="8"/>
      <c r="L1431" s="8"/>
      <c r="M1431" s="8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  <c r="AD1431" s="8"/>
      <c r="AE1431" s="8"/>
      <c r="AF1431" s="8"/>
      <c r="AG1431" s="8"/>
      <c r="AH1431" s="8"/>
      <c r="AI1431" s="8"/>
      <c r="AJ1431" s="8"/>
      <c r="AK1431" s="8"/>
      <c r="AL1431" s="8"/>
      <c r="AM1431" s="8"/>
      <c r="AN1431" s="8"/>
      <c r="AO1431" s="8"/>
      <c r="AP1431" s="8"/>
      <c r="AQ1431" s="8"/>
      <c r="AR1431" s="8"/>
      <c r="AS1431" s="8"/>
      <c r="AT1431" s="8"/>
      <c r="AU1431" s="8"/>
      <c r="AV1431" s="8"/>
      <c r="AW1431" s="8"/>
      <c r="AX1431" s="8"/>
      <c r="AY1431" s="8"/>
      <c r="AZ1431" s="10"/>
    </row>
    <row r="1432" spans="2:52" x14ac:dyDescent="0.35">
      <c r="B1432" s="7"/>
      <c r="C1432" s="8"/>
      <c r="D1432" s="8"/>
      <c r="E1432" s="8"/>
      <c r="F1432" s="8"/>
      <c r="G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  <c r="AG1432" s="8"/>
      <c r="AH1432" s="8"/>
      <c r="AI1432" s="8"/>
      <c r="AJ1432" s="8"/>
      <c r="AK1432" s="8"/>
      <c r="AL1432" s="8"/>
      <c r="AM1432" s="8"/>
      <c r="AN1432" s="8"/>
      <c r="AO1432" s="8"/>
      <c r="AP1432" s="8"/>
      <c r="AQ1432" s="8"/>
      <c r="AR1432" s="8"/>
      <c r="AS1432" s="8"/>
      <c r="AT1432" s="8"/>
      <c r="AU1432" s="8"/>
      <c r="AV1432" s="8"/>
      <c r="AW1432" s="8"/>
      <c r="AX1432" s="8"/>
      <c r="AY1432" s="8"/>
      <c r="AZ1432" s="10"/>
    </row>
    <row r="1433" spans="2:52" x14ac:dyDescent="0.35">
      <c r="B1433" s="7"/>
      <c r="C1433" s="8"/>
      <c r="D1433" s="8"/>
      <c r="E1433" s="8"/>
      <c r="F1433" s="8"/>
      <c r="G1433" s="8"/>
      <c r="H1433" s="8"/>
      <c r="I1433" s="8"/>
      <c r="J1433" s="8"/>
      <c r="K1433" s="8"/>
      <c r="L1433" s="8"/>
      <c r="M1433" s="8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  <c r="AG1433" s="8"/>
      <c r="AH1433" s="8"/>
      <c r="AI1433" s="8"/>
      <c r="AJ1433" s="8"/>
      <c r="AK1433" s="8"/>
      <c r="AL1433" s="8"/>
      <c r="AM1433" s="8"/>
      <c r="AN1433" s="8"/>
      <c r="AO1433" s="8"/>
      <c r="AP1433" s="8"/>
      <c r="AQ1433" s="8"/>
      <c r="AR1433" s="8"/>
      <c r="AS1433" s="8"/>
      <c r="AT1433" s="8"/>
      <c r="AU1433" s="8"/>
      <c r="AV1433" s="8"/>
      <c r="AW1433" s="8"/>
      <c r="AX1433" s="8"/>
      <c r="AY1433" s="8"/>
      <c r="AZ1433" s="10"/>
    </row>
    <row r="1434" spans="2:52" x14ac:dyDescent="0.35">
      <c r="B1434" s="7"/>
      <c r="C1434" s="8"/>
      <c r="D1434" s="8"/>
      <c r="E1434" s="8"/>
      <c r="F1434" s="8"/>
      <c r="G1434" s="8"/>
      <c r="H1434" s="8"/>
      <c r="I1434" s="8"/>
      <c r="J1434" s="8"/>
      <c r="K1434" s="8"/>
      <c r="L1434" s="8"/>
      <c r="M1434" s="8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  <c r="AD1434" s="8"/>
      <c r="AE1434" s="8"/>
      <c r="AF1434" s="8"/>
      <c r="AG1434" s="8"/>
      <c r="AH1434" s="8"/>
      <c r="AI1434" s="8"/>
      <c r="AJ1434" s="8"/>
      <c r="AK1434" s="8"/>
      <c r="AL1434" s="8"/>
      <c r="AM1434" s="8"/>
      <c r="AN1434" s="8"/>
      <c r="AO1434" s="8"/>
      <c r="AP1434" s="8"/>
      <c r="AQ1434" s="8"/>
      <c r="AR1434" s="8"/>
      <c r="AS1434" s="8"/>
      <c r="AT1434" s="8"/>
      <c r="AU1434" s="8"/>
      <c r="AV1434" s="8"/>
      <c r="AW1434" s="8"/>
      <c r="AX1434" s="8"/>
      <c r="AY1434" s="8"/>
      <c r="AZ1434" s="10"/>
    </row>
    <row r="1435" spans="2:52" x14ac:dyDescent="0.35">
      <c r="B1435" s="7"/>
      <c r="C1435" s="8"/>
      <c r="D1435" s="8"/>
      <c r="E1435" s="8"/>
      <c r="F1435" s="8"/>
      <c r="G1435" s="8"/>
      <c r="H1435" s="8"/>
      <c r="I1435" s="8"/>
      <c r="J1435" s="8"/>
      <c r="K1435" s="8"/>
      <c r="L1435" s="8"/>
      <c r="M1435" s="8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  <c r="AD1435" s="8"/>
      <c r="AE1435" s="8"/>
      <c r="AF1435" s="8"/>
      <c r="AG1435" s="8"/>
      <c r="AH1435" s="8"/>
      <c r="AI1435" s="8"/>
      <c r="AJ1435" s="8"/>
      <c r="AK1435" s="8"/>
      <c r="AL1435" s="8"/>
      <c r="AM1435" s="8"/>
      <c r="AN1435" s="8"/>
      <c r="AO1435" s="8"/>
      <c r="AP1435" s="8"/>
      <c r="AQ1435" s="8"/>
      <c r="AR1435" s="8"/>
      <c r="AS1435" s="8"/>
      <c r="AT1435" s="8"/>
      <c r="AU1435" s="8"/>
      <c r="AV1435" s="8"/>
      <c r="AW1435" s="8"/>
      <c r="AX1435" s="8"/>
      <c r="AY1435" s="8"/>
      <c r="AZ1435" s="10"/>
    </row>
    <row r="1436" spans="2:52" x14ac:dyDescent="0.35">
      <c r="B1436" s="7"/>
      <c r="C1436" s="8"/>
      <c r="D1436" s="8"/>
      <c r="E1436" s="8"/>
      <c r="F1436" s="8"/>
      <c r="G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  <c r="AD1436" s="8"/>
      <c r="AE1436" s="8"/>
      <c r="AF1436" s="8"/>
      <c r="AG1436" s="8"/>
      <c r="AH1436" s="8"/>
      <c r="AI1436" s="8"/>
      <c r="AJ1436" s="8"/>
      <c r="AK1436" s="8"/>
      <c r="AL1436" s="8"/>
      <c r="AM1436" s="8"/>
      <c r="AN1436" s="8"/>
      <c r="AO1436" s="8"/>
      <c r="AP1436" s="8"/>
      <c r="AQ1436" s="8"/>
      <c r="AR1436" s="8"/>
      <c r="AS1436" s="8"/>
      <c r="AT1436" s="8"/>
      <c r="AU1436" s="8"/>
      <c r="AV1436" s="8"/>
      <c r="AW1436" s="8"/>
      <c r="AX1436" s="8"/>
      <c r="AY1436" s="8"/>
      <c r="AZ1436" s="10"/>
    </row>
    <row r="1437" spans="2:52" x14ac:dyDescent="0.35">
      <c r="B1437" s="7"/>
      <c r="C1437" s="8"/>
      <c r="D1437" s="8"/>
      <c r="E1437" s="8"/>
      <c r="F1437" s="8"/>
      <c r="G1437" s="8"/>
      <c r="H1437" s="8"/>
      <c r="I1437" s="8"/>
      <c r="J1437" s="8"/>
      <c r="K1437" s="8"/>
      <c r="L1437" s="8"/>
      <c r="M1437" s="8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  <c r="AD1437" s="8"/>
      <c r="AE1437" s="8"/>
      <c r="AF1437" s="8"/>
      <c r="AG1437" s="8"/>
      <c r="AH1437" s="8"/>
      <c r="AI1437" s="8"/>
      <c r="AJ1437" s="8"/>
      <c r="AK1437" s="8"/>
      <c r="AL1437" s="8"/>
      <c r="AM1437" s="8"/>
      <c r="AN1437" s="8"/>
      <c r="AO1437" s="8"/>
      <c r="AP1437" s="8"/>
      <c r="AQ1437" s="8"/>
      <c r="AR1437" s="8"/>
      <c r="AS1437" s="8"/>
      <c r="AT1437" s="8"/>
      <c r="AU1437" s="8"/>
      <c r="AV1437" s="8"/>
      <c r="AW1437" s="8"/>
      <c r="AX1437" s="8"/>
      <c r="AY1437" s="8"/>
      <c r="AZ1437" s="10"/>
    </row>
    <row r="1438" spans="2:52" x14ac:dyDescent="0.35">
      <c r="B1438" s="7"/>
      <c r="C1438" s="8"/>
      <c r="D1438" s="8"/>
      <c r="E1438" s="8"/>
      <c r="F1438" s="8"/>
      <c r="G1438" s="8"/>
      <c r="H1438" s="8"/>
      <c r="I1438" s="8"/>
      <c r="J1438" s="8"/>
      <c r="K1438" s="8"/>
      <c r="L1438" s="8"/>
      <c r="M1438" s="8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  <c r="AD1438" s="8"/>
      <c r="AE1438" s="8"/>
      <c r="AF1438" s="8"/>
      <c r="AG1438" s="8"/>
      <c r="AH1438" s="8"/>
      <c r="AI1438" s="8"/>
      <c r="AJ1438" s="8"/>
      <c r="AK1438" s="8"/>
      <c r="AL1438" s="8"/>
      <c r="AM1438" s="8"/>
      <c r="AN1438" s="8"/>
      <c r="AO1438" s="8"/>
      <c r="AP1438" s="8"/>
      <c r="AQ1438" s="8"/>
      <c r="AR1438" s="8"/>
      <c r="AS1438" s="8"/>
      <c r="AT1438" s="8"/>
      <c r="AU1438" s="8"/>
      <c r="AV1438" s="8"/>
      <c r="AW1438" s="8"/>
      <c r="AX1438" s="8"/>
      <c r="AY1438" s="8"/>
      <c r="AZ1438" s="10"/>
    </row>
    <row r="1439" spans="2:52" x14ac:dyDescent="0.35">
      <c r="B1439" s="7"/>
      <c r="C1439" s="8"/>
      <c r="D1439" s="8"/>
      <c r="E1439" s="8"/>
      <c r="F1439" s="8"/>
      <c r="G1439" s="8"/>
      <c r="H1439" s="8"/>
      <c r="I1439" s="8"/>
      <c r="J1439" s="8"/>
      <c r="K1439" s="8"/>
      <c r="L1439" s="8"/>
      <c r="M1439" s="8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8"/>
      <c r="AD1439" s="8"/>
      <c r="AE1439" s="8"/>
      <c r="AF1439" s="8"/>
      <c r="AG1439" s="8"/>
      <c r="AH1439" s="8"/>
      <c r="AI1439" s="8"/>
      <c r="AJ1439" s="8"/>
      <c r="AK1439" s="8"/>
      <c r="AL1439" s="8"/>
      <c r="AM1439" s="8"/>
      <c r="AN1439" s="8"/>
      <c r="AO1439" s="8"/>
      <c r="AP1439" s="8"/>
      <c r="AQ1439" s="8"/>
      <c r="AR1439" s="8"/>
      <c r="AS1439" s="8"/>
      <c r="AT1439" s="8"/>
      <c r="AU1439" s="8"/>
      <c r="AV1439" s="8"/>
      <c r="AW1439" s="8"/>
      <c r="AX1439" s="8"/>
      <c r="AY1439" s="8"/>
      <c r="AZ1439" s="10"/>
    </row>
    <row r="1440" spans="2:52" x14ac:dyDescent="0.35">
      <c r="B1440" s="7"/>
      <c r="C1440" s="8"/>
      <c r="D1440" s="8"/>
      <c r="E1440" s="8"/>
      <c r="F1440" s="8"/>
      <c r="G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8"/>
      <c r="AD1440" s="8"/>
      <c r="AE1440" s="8"/>
      <c r="AF1440" s="8"/>
      <c r="AG1440" s="8"/>
      <c r="AH1440" s="8"/>
      <c r="AI1440" s="8"/>
      <c r="AJ1440" s="8"/>
      <c r="AK1440" s="8"/>
      <c r="AL1440" s="8"/>
      <c r="AM1440" s="8"/>
      <c r="AN1440" s="8"/>
      <c r="AO1440" s="8"/>
      <c r="AP1440" s="8"/>
      <c r="AQ1440" s="8"/>
      <c r="AR1440" s="8"/>
      <c r="AS1440" s="8"/>
      <c r="AT1440" s="8"/>
      <c r="AU1440" s="8"/>
      <c r="AV1440" s="8"/>
      <c r="AW1440" s="8"/>
      <c r="AX1440" s="8"/>
      <c r="AY1440" s="8"/>
      <c r="AZ1440" s="10"/>
    </row>
    <row r="1441" spans="2:52" x14ac:dyDescent="0.35">
      <c r="B1441" s="7"/>
      <c r="C1441" s="8"/>
      <c r="D1441" s="8"/>
      <c r="E1441" s="8"/>
      <c r="F1441" s="8"/>
      <c r="G1441" s="8"/>
      <c r="H1441" s="8"/>
      <c r="I1441" s="8"/>
      <c r="J1441" s="8"/>
      <c r="K1441" s="8"/>
      <c r="L1441" s="8"/>
      <c r="M1441" s="8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8"/>
      <c r="AD1441" s="8"/>
      <c r="AE1441" s="8"/>
      <c r="AF1441" s="8"/>
      <c r="AG1441" s="8"/>
      <c r="AH1441" s="8"/>
      <c r="AI1441" s="8"/>
      <c r="AJ1441" s="8"/>
      <c r="AK1441" s="8"/>
      <c r="AL1441" s="8"/>
      <c r="AM1441" s="8"/>
      <c r="AN1441" s="8"/>
      <c r="AO1441" s="8"/>
      <c r="AP1441" s="8"/>
      <c r="AQ1441" s="8"/>
      <c r="AR1441" s="8"/>
      <c r="AS1441" s="8"/>
      <c r="AT1441" s="8"/>
      <c r="AU1441" s="8"/>
      <c r="AV1441" s="8"/>
      <c r="AW1441" s="8"/>
      <c r="AX1441" s="8"/>
      <c r="AY1441" s="8"/>
      <c r="AZ1441" s="10"/>
    </row>
    <row r="1442" spans="2:52" x14ac:dyDescent="0.35">
      <c r="B1442" s="7"/>
      <c r="C1442" s="8"/>
      <c r="D1442" s="8"/>
      <c r="E1442" s="8"/>
      <c r="F1442" s="8"/>
      <c r="G1442" s="8"/>
      <c r="H1442" s="8"/>
      <c r="I1442" s="8"/>
      <c r="J1442" s="8"/>
      <c r="K1442" s="8"/>
      <c r="L1442" s="8"/>
      <c r="M1442" s="8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  <c r="AD1442" s="8"/>
      <c r="AE1442" s="8"/>
      <c r="AF1442" s="8"/>
      <c r="AG1442" s="8"/>
      <c r="AH1442" s="8"/>
      <c r="AI1442" s="8"/>
      <c r="AJ1442" s="8"/>
      <c r="AK1442" s="8"/>
      <c r="AL1442" s="8"/>
      <c r="AM1442" s="8"/>
      <c r="AN1442" s="8"/>
      <c r="AO1442" s="8"/>
      <c r="AP1442" s="8"/>
      <c r="AQ1442" s="8"/>
      <c r="AR1442" s="8"/>
      <c r="AS1442" s="8"/>
      <c r="AT1442" s="8"/>
      <c r="AU1442" s="8"/>
      <c r="AV1442" s="8"/>
      <c r="AW1442" s="8"/>
      <c r="AX1442" s="8"/>
      <c r="AY1442" s="8"/>
      <c r="AZ1442" s="10"/>
    </row>
    <row r="1443" spans="2:52" x14ac:dyDescent="0.35">
      <c r="B1443" s="7"/>
      <c r="C1443" s="8"/>
      <c r="D1443" s="8"/>
      <c r="E1443" s="8"/>
      <c r="F1443" s="8"/>
      <c r="G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  <c r="AD1443" s="8"/>
      <c r="AE1443" s="8"/>
      <c r="AF1443" s="8"/>
      <c r="AG1443" s="8"/>
      <c r="AH1443" s="8"/>
      <c r="AI1443" s="8"/>
      <c r="AJ1443" s="8"/>
      <c r="AK1443" s="8"/>
      <c r="AL1443" s="8"/>
      <c r="AM1443" s="8"/>
      <c r="AN1443" s="8"/>
      <c r="AO1443" s="8"/>
      <c r="AP1443" s="8"/>
      <c r="AQ1443" s="8"/>
      <c r="AR1443" s="8"/>
      <c r="AS1443" s="8"/>
      <c r="AT1443" s="8"/>
      <c r="AU1443" s="8"/>
      <c r="AV1443" s="8"/>
      <c r="AW1443" s="8"/>
      <c r="AX1443" s="8"/>
      <c r="AY1443" s="8"/>
      <c r="AZ1443" s="10"/>
    </row>
    <row r="1444" spans="2:52" x14ac:dyDescent="0.35">
      <c r="B1444" s="7"/>
      <c r="C1444" s="8"/>
      <c r="D1444" s="8"/>
      <c r="E1444" s="8"/>
      <c r="F1444" s="8"/>
      <c r="G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  <c r="AD1444" s="8"/>
      <c r="AE1444" s="8"/>
      <c r="AF1444" s="8"/>
      <c r="AG1444" s="8"/>
      <c r="AH1444" s="8"/>
      <c r="AI1444" s="8"/>
      <c r="AJ1444" s="8"/>
      <c r="AK1444" s="8"/>
      <c r="AL1444" s="8"/>
      <c r="AM1444" s="8"/>
      <c r="AN1444" s="8"/>
      <c r="AO1444" s="8"/>
      <c r="AP1444" s="8"/>
      <c r="AQ1444" s="8"/>
      <c r="AR1444" s="8"/>
      <c r="AS1444" s="8"/>
      <c r="AT1444" s="8"/>
      <c r="AU1444" s="8"/>
      <c r="AV1444" s="8"/>
      <c r="AW1444" s="8"/>
      <c r="AX1444" s="8"/>
      <c r="AY1444" s="8"/>
      <c r="AZ1444" s="10"/>
    </row>
    <row r="1445" spans="2:52" x14ac:dyDescent="0.35">
      <c r="B1445" s="7"/>
      <c r="C1445" s="8"/>
      <c r="D1445" s="8"/>
      <c r="E1445" s="8"/>
      <c r="F1445" s="8"/>
      <c r="G1445" s="8"/>
      <c r="H1445" s="8"/>
      <c r="I1445" s="8"/>
      <c r="J1445" s="8"/>
      <c r="K1445" s="8"/>
      <c r="L1445" s="8"/>
      <c r="M1445" s="8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8"/>
      <c r="AD1445" s="8"/>
      <c r="AE1445" s="8"/>
      <c r="AF1445" s="8"/>
      <c r="AG1445" s="8"/>
      <c r="AH1445" s="8"/>
      <c r="AI1445" s="8"/>
      <c r="AJ1445" s="8"/>
      <c r="AK1445" s="8"/>
      <c r="AL1445" s="8"/>
      <c r="AM1445" s="8"/>
      <c r="AN1445" s="8"/>
      <c r="AO1445" s="8"/>
      <c r="AP1445" s="8"/>
      <c r="AQ1445" s="8"/>
      <c r="AR1445" s="8"/>
      <c r="AS1445" s="8"/>
      <c r="AT1445" s="8"/>
      <c r="AU1445" s="8"/>
      <c r="AV1445" s="8"/>
      <c r="AW1445" s="8"/>
      <c r="AX1445" s="8"/>
      <c r="AY1445" s="8"/>
      <c r="AZ1445" s="10"/>
    </row>
    <row r="1446" spans="2:52" x14ac:dyDescent="0.35">
      <c r="B1446" s="7"/>
      <c r="C1446" s="8"/>
      <c r="D1446" s="8"/>
      <c r="E1446" s="8"/>
      <c r="F1446" s="8"/>
      <c r="G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8"/>
      <c r="AD1446" s="8"/>
      <c r="AE1446" s="8"/>
      <c r="AF1446" s="8"/>
      <c r="AG1446" s="8"/>
      <c r="AH1446" s="8"/>
      <c r="AI1446" s="8"/>
      <c r="AJ1446" s="8"/>
      <c r="AK1446" s="8"/>
      <c r="AL1446" s="8"/>
      <c r="AM1446" s="8"/>
      <c r="AN1446" s="8"/>
      <c r="AO1446" s="8"/>
      <c r="AP1446" s="8"/>
      <c r="AQ1446" s="8"/>
      <c r="AR1446" s="8"/>
      <c r="AS1446" s="8"/>
      <c r="AT1446" s="8"/>
      <c r="AU1446" s="8"/>
      <c r="AV1446" s="8"/>
      <c r="AW1446" s="8"/>
      <c r="AX1446" s="8"/>
      <c r="AY1446" s="8"/>
      <c r="AZ1446" s="10"/>
    </row>
    <row r="1447" spans="2:52" x14ac:dyDescent="0.35">
      <c r="B1447" s="7"/>
      <c r="C1447" s="8"/>
      <c r="D1447" s="8"/>
      <c r="E1447" s="8"/>
      <c r="F1447" s="8"/>
      <c r="G1447" s="8"/>
      <c r="H1447" s="8"/>
      <c r="I1447" s="8"/>
      <c r="J1447" s="8"/>
      <c r="K1447" s="8"/>
      <c r="L1447" s="8"/>
      <c r="M1447" s="8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8"/>
      <c r="AD1447" s="8"/>
      <c r="AE1447" s="8"/>
      <c r="AF1447" s="8"/>
      <c r="AG1447" s="8"/>
      <c r="AH1447" s="8"/>
      <c r="AI1447" s="8"/>
      <c r="AJ1447" s="8"/>
      <c r="AK1447" s="8"/>
      <c r="AL1447" s="8"/>
      <c r="AM1447" s="8"/>
      <c r="AN1447" s="8"/>
      <c r="AO1447" s="8"/>
      <c r="AP1447" s="8"/>
      <c r="AQ1447" s="8"/>
      <c r="AR1447" s="8"/>
      <c r="AS1447" s="8"/>
      <c r="AT1447" s="8"/>
      <c r="AU1447" s="8"/>
      <c r="AV1447" s="8"/>
      <c r="AW1447" s="8"/>
      <c r="AX1447" s="8"/>
      <c r="AY1447" s="8"/>
      <c r="AZ1447" s="10"/>
    </row>
    <row r="1448" spans="2:52" x14ac:dyDescent="0.35">
      <c r="B1448" s="7"/>
      <c r="C1448" s="8"/>
      <c r="D1448" s="8"/>
      <c r="E1448" s="8"/>
      <c r="F1448" s="8"/>
      <c r="G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  <c r="AD1448" s="8"/>
      <c r="AE1448" s="8"/>
      <c r="AF1448" s="8"/>
      <c r="AG1448" s="8"/>
      <c r="AH1448" s="8"/>
      <c r="AI1448" s="8"/>
      <c r="AJ1448" s="8"/>
      <c r="AK1448" s="8"/>
      <c r="AL1448" s="8"/>
      <c r="AM1448" s="8"/>
      <c r="AN1448" s="8"/>
      <c r="AO1448" s="8"/>
      <c r="AP1448" s="8"/>
      <c r="AQ1448" s="8"/>
      <c r="AR1448" s="8"/>
      <c r="AS1448" s="8"/>
      <c r="AT1448" s="8"/>
      <c r="AU1448" s="8"/>
      <c r="AV1448" s="8"/>
      <c r="AW1448" s="8"/>
      <c r="AX1448" s="8"/>
      <c r="AY1448" s="8"/>
      <c r="AZ1448" s="10"/>
    </row>
    <row r="1449" spans="2:52" x14ac:dyDescent="0.35">
      <c r="B1449" s="7"/>
      <c r="C1449" s="8"/>
      <c r="D1449" s="8"/>
      <c r="E1449" s="8"/>
      <c r="F1449" s="8"/>
      <c r="G1449" s="8"/>
      <c r="H1449" s="8"/>
      <c r="I1449" s="8"/>
      <c r="J1449" s="8"/>
      <c r="K1449" s="8"/>
      <c r="L1449" s="8"/>
      <c r="M1449" s="8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  <c r="AD1449" s="8"/>
      <c r="AE1449" s="8"/>
      <c r="AF1449" s="8"/>
      <c r="AG1449" s="8"/>
      <c r="AH1449" s="8"/>
      <c r="AI1449" s="8"/>
      <c r="AJ1449" s="8"/>
      <c r="AK1449" s="8"/>
      <c r="AL1449" s="8"/>
      <c r="AM1449" s="8"/>
      <c r="AN1449" s="8"/>
      <c r="AO1449" s="8"/>
      <c r="AP1449" s="8"/>
      <c r="AQ1449" s="8"/>
      <c r="AR1449" s="8"/>
      <c r="AS1449" s="8"/>
      <c r="AT1449" s="8"/>
      <c r="AU1449" s="8"/>
      <c r="AV1449" s="8"/>
      <c r="AW1449" s="8"/>
      <c r="AX1449" s="8"/>
      <c r="AY1449" s="8"/>
      <c r="AZ1449" s="10"/>
    </row>
    <row r="1450" spans="2:52" x14ac:dyDescent="0.35">
      <c r="B1450" s="7"/>
      <c r="C1450" s="8"/>
      <c r="D1450" s="8"/>
      <c r="E1450" s="8"/>
      <c r="F1450" s="8"/>
      <c r="G1450" s="8"/>
      <c r="H1450" s="8"/>
      <c r="I1450" s="8"/>
      <c r="J1450" s="8"/>
      <c r="K1450" s="8"/>
      <c r="L1450" s="8"/>
      <c r="M1450" s="8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8"/>
      <c r="AD1450" s="8"/>
      <c r="AE1450" s="8"/>
      <c r="AF1450" s="8"/>
      <c r="AG1450" s="8"/>
      <c r="AH1450" s="8"/>
      <c r="AI1450" s="8"/>
      <c r="AJ1450" s="8"/>
      <c r="AK1450" s="8"/>
      <c r="AL1450" s="8"/>
      <c r="AM1450" s="8"/>
      <c r="AN1450" s="8"/>
      <c r="AO1450" s="8"/>
      <c r="AP1450" s="8"/>
      <c r="AQ1450" s="8"/>
      <c r="AR1450" s="8"/>
      <c r="AS1450" s="8"/>
      <c r="AT1450" s="8"/>
      <c r="AU1450" s="8"/>
      <c r="AV1450" s="8"/>
      <c r="AW1450" s="8"/>
      <c r="AX1450" s="8"/>
      <c r="AY1450" s="8"/>
      <c r="AZ1450" s="10"/>
    </row>
    <row r="1451" spans="2:52" x14ac:dyDescent="0.35">
      <c r="B1451" s="7"/>
      <c r="C1451" s="8"/>
      <c r="D1451" s="8"/>
      <c r="E1451" s="8"/>
      <c r="F1451" s="8"/>
      <c r="G1451" s="8"/>
      <c r="H1451" s="8"/>
      <c r="I1451" s="8"/>
      <c r="J1451" s="8"/>
      <c r="K1451" s="8"/>
      <c r="L1451" s="8"/>
      <c r="M1451" s="8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8"/>
      <c r="AD1451" s="8"/>
      <c r="AE1451" s="8"/>
      <c r="AF1451" s="8"/>
      <c r="AG1451" s="8"/>
      <c r="AH1451" s="8"/>
      <c r="AI1451" s="8"/>
      <c r="AJ1451" s="8"/>
      <c r="AK1451" s="8"/>
      <c r="AL1451" s="8"/>
      <c r="AM1451" s="8"/>
      <c r="AN1451" s="8"/>
      <c r="AO1451" s="8"/>
      <c r="AP1451" s="8"/>
      <c r="AQ1451" s="8"/>
      <c r="AR1451" s="8"/>
      <c r="AS1451" s="8"/>
      <c r="AT1451" s="8"/>
      <c r="AU1451" s="8"/>
      <c r="AV1451" s="8"/>
      <c r="AW1451" s="8"/>
      <c r="AX1451" s="8"/>
      <c r="AY1451" s="8"/>
      <c r="AZ1451" s="10"/>
    </row>
    <row r="1452" spans="2:52" x14ac:dyDescent="0.35">
      <c r="B1452" s="7"/>
      <c r="C1452" s="8"/>
      <c r="D1452" s="8"/>
      <c r="E1452" s="8"/>
      <c r="F1452" s="8"/>
      <c r="G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8"/>
      <c r="AD1452" s="8"/>
      <c r="AE1452" s="8"/>
      <c r="AF1452" s="8"/>
      <c r="AG1452" s="8"/>
      <c r="AH1452" s="8"/>
      <c r="AI1452" s="8"/>
      <c r="AJ1452" s="8"/>
      <c r="AK1452" s="8"/>
      <c r="AL1452" s="8"/>
      <c r="AM1452" s="8"/>
      <c r="AN1452" s="8"/>
      <c r="AO1452" s="8"/>
      <c r="AP1452" s="8"/>
      <c r="AQ1452" s="8"/>
      <c r="AR1452" s="8"/>
      <c r="AS1452" s="8"/>
      <c r="AT1452" s="8"/>
      <c r="AU1452" s="8"/>
      <c r="AV1452" s="8"/>
      <c r="AW1452" s="8"/>
      <c r="AX1452" s="8"/>
      <c r="AY1452" s="8"/>
      <c r="AZ1452" s="10"/>
    </row>
    <row r="1453" spans="2:52" x14ac:dyDescent="0.35">
      <c r="B1453" s="7"/>
      <c r="C1453" s="8"/>
      <c r="D1453" s="8"/>
      <c r="E1453" s="8"/>
      <c r="F1453" s="8"/>
      <c r="G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  <c r="AD1453" s="8"/>
      <c r="AE1453" s="8"/>
      <c r="AF1453" s="8"/>
      <c r="AG1453" s="8"/>
      <c r="AH1453" s="8"/>
      <c r="AI1453" s="8"/>
      <c r="AJ1453" s="8"/>
      <c r="AK1453" s="8"/>
      <c r="AL1453" s="8"/>
      <c r="AM1453" s="8"/>
      <c r="AN1453" s="8"/>
      <c r="AO1453" s="8"/>
      <c r="AP1453" s="8"/>
      <c r="AQ1453" s="8"/>
      <c r="AR1453" s="8"/>
      <c r="AS1453" s="8"/>
      <c r="AT1453" s="8"/>
      <c r="AU1453" s="8"/>
      <c r="AV1453" s="8"/>
      <c r="AW1453" s="8"/>
      <c r="AX1453" s="8"/>
      <c r="AY1453" s="8"/>
      <c r="AZ1453" s="10"/>
    </row>
    <row r="1454" spans="2:52" x14ac:dyDescent="0.35">
      <c r="B1454" s="7"/>
      <c r="C1454" s="8"/>
      <c r="D1454" s="8"/>
      <c r="E1454" s="8"/>
      <c r="F1454" s="8"/>
      <c r="G1454" s="8"/>
      <c r="H1454" s="8"/>
      <c r="I1454" s="8"/>
      <c r="J1454" s="8"/>
      <c r="K1454" s="8"/>
      <c r="L1454" s="8"/>
      <c r="M1454" s="8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  <c r="AD1454" s="8"/>
      <c r="AE1454" s="8"/>
      <c r="AF1454" s="8"/>
      <c r="AG1454" s="8"/>
      <c r="AH1454" s="8"/>
      <c r="AI1454" s="8"/>
      <c r="AJ1454" s="8"/>
      <c r="AK1454" s="8"/>
      <c r="AL1454" s="8"/>
      <c r="AM1454" s="8"/>
      <c r="AN1454" s="8"/>
      <c r="AO1454" s="8"/>
      <c r="AP1454" s="8"/>
      <c r="AQ1454" s="8"/>
      <c r="AR1454" s="8"/>
      <c r="AS1454" s="8"/>
      <c r="AT1454" s="8"/>
      <c r="AU1454" s="8"/>
      <c r="AV1454" s="8"/>
      <c r="AW1454" s="8"/>
      <c r="AX1454" s="8"/>
      <c r="AY1454" s="8"/>
      <c r="AZ1454" s="10"/>
    </row>
    <row r="1455" spans="2:52" x14ac:dyDescent="0.35">
      <c r="B1455" s="7"/>
      <c r="C1455" s="8"/>
      <c r="D1455" s="8"/>
      <c r="E1455" s="8"/>
      <c r="F1455" s="8"/>
      <c r="G1455" s="8"/>
      <c r="H1455" s="8"/>
      <c r="I1455" s="8"/>
      <c r="J1455" s="8"/>
      <c r="K1455" s="8"/>
      <c r="L1455" s="8"/>
      <c r="M1455" s="8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  <c r="AD1455" s="8"/>
      <c r="AE1455" s="8"/>
      <c r="AF1455" s="8"/>
      <c r="AG1455" s="8"/>
      <c r="AH1455" s="8"/>
      <c r="AI1455" s="8"/>
      <c r="AJ1455" s="8"/>
      <c r="AK1455" s="8"/>
      <c r="AL1455" s="8"/>
      <c r="AM1455" s="8"/>
      <c r="AN1455" s="8"/>
      <c r="AO1455" s="8"/>
      <c r="AP1455" s="8"/>
      <c r="AQ1455" s="8"/>
      <c r="AR1455" s="8"/>
      <c r="AS1455" s="8"/>
      <c r="AT1455" s="8"/>
      <c r="AU1455" s="8"/>
      <c r="AV1455" s="8"/>
      <c r="AW1455" s="8"/>
      <c r="AX1455" s="8"/>
      <c r="AY1455" s="8"/>
      <c r="AZ1455" s="10"/>
    </row>
    <row r="1456" spans="2:52" x14ac:dyDescent="0.35">
      <c r="B1456" s="7"/>
      <c r="C1456" s="8"/>
      <c r="D1456" s="8"/>
      <c r="E1456" s="8"/>
      <c r="F1456" s="8"/>
      <c r="G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  <c r="AD1456" s="8"/>
      <c r="AE1456" s="8"/>
      <c r="AF1456" s="8"/>
      <c r="AG1456" s="8"/>
      <c r="AH1456" s="8"/>
      <c r="AI1456" s="8"/>
      <c r="AJ1456" s="8"/>
      <c r="AK1456" s="8"/>
      <c r="AL1456" s="8"/>
      <c r="AM1456" s="8"/>
      <c r="AN1456" s="8"/>
      <c r="AO1456" s="8"/>
      <c r="AP1456" s="8"/>
      <c r="AQ1456" s="8"/>
      <c r="AR1456" s="8"/>
      <c r="AS1456" s="8"/>
      <c r="AT1456" s="8"/>
      <c r="AU1456" s="8"/>
      <c r="AV1456" s="8"/>
      <c r="AW1456" s="8"/>
      <c r="AX1456" s="8"/>
      <c r="AY1456" s="8"/>
      <c r="AZ1456" s="10"/>
    </row>
    <row r="1457" spans="2:52" x14ac:dyDescent="0.35">
      <c r="B1457" s="7"/>
      <c r="C1457" s="8"/>
      <c r="D1457" s="8"/>
      <c r="E1457" s="8"/>
      <c r="F1457" s="8"/>
      <c r="G1457" s="8"/>
      <c r="H1457" s="8"/>
      <c r="I1457" s="8"/>
      <c r="J1457" s="8"/>
      <c r="K1457" s="8"/>
      <c r="L1457" s="8"/>
      <c r="M1457" s="8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  <c r="AD1457" s="8"/>
      <c r="AE1457" s="8"/>
      <c r="AF1457" s="8"/>
      <c r="AG1457" s="8"/>
      <c r="AH1457" s="8"/>
      <c r="AI1457" s="8"/>
      <c r="AJ1457" s="8"/>
      <c r="AK1457" s="8"/>
      <c r="AL1457" s="8"/>
      <c r="AM1457" s="8"/>
      <c r="AN1457" s="8"/>
      <c r="AO1457" s="8"/>
      <c r="AP1457" s="8"/>
      <c r="AQ1457" s="8"/>
      <c r="AR1457" s="8"/>
      <c r="AS1457" s="8"/>
      <c r="AT1457" s="8"/>
      <c r="AU1457" s="8"/>
      <c r="AV1457" s="8"/>
      <c r="AW1457" s="8"/>
      <c r="AX1457" s="8"/>
      <c r="AY1457" s="8"/>
      <c r="AZ1457" s="10"/>
    </row>
    <row r="1458" spans="2:52" x14ac:dyDescent="0.35">
      <c r="B1458" s="7"/>
      <c r="C1458" s="8"/>
      <c r="D1458" s="8"/>
      <c r="E1458" s="8"/>
      <c r="F1458" s="8"/>
      <c r="G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  <c r="AD1458" s="8"/>
      <c r="AE1458" s="8"/>
      <c r="AF1458" s="8"/>
      <c r="AG1458" s="8"/>
      <c r="AH1458" s="8"/>
      <c r="AI1458" s="8"/>
      <c r="AJ1458" s="8"/>
      <c r="AK1458" s="8"/>
      <c r="AL1458" s="8"/>
      <c r="AM1458" s="8"/>
      <c r="AN1458" s="8"/>
      <c r="AO1458" s="8"/>
      <c r="AP1458" s="8"/>
      <c r="AQ1458" s="8"/>
      <c r="AR1458" s="8"/>
      <c r="AS1458" s="8"/>
      <c r="AT1458" s="8"/>
      <c r="AU1458" s="8"/>
      <c r="AV1458" s="8"/>
      <c r="AW1458" s="8"/>
      <c r="AX1458" s="8"/>
      <c r="AY1458" s="8"/>
      <c r="AZ1458" s="10"/>
    </row>
    <row r="1459" spans="2:52" x14ac:dyDescent="0.35">
      <c r="B1459" s="7"/>
      <c r="C1459" s="8"/>
      <c r="D1459" s="8"/>
      <c r="E1459" s="8"/>
      <c r="F1459" s="8"/>
      <c r="G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  <c r="AD1459" s="8"/>
      <c r="AE1459" s="8"/>
      <c r="AF1459" s="8"/>
      <c r="AG1459" s="8"/>
      <c r="AH1459" s="8"/>
      <c r="AI1459" s="8"/>
      <c r="AJ1459" s="8"/>
      <c r="AK1459" s="8"/>
      <c r="AL1459" s="8"/>
      <c r="AM1459" s="8"/>
      <c r="AN1459" s="8"/>
      <c r="AO1459" s="8"/>
      <c r="AP1459" s="8"/>
      <c r="AQ1459" s="8"/>
      <c r="AR1459" s="8"/>
      <c r="AS1459" s="8"/>
      <c r="AT1459" s="8"/>
      <c r="AU1459" s="8"/>
      <c r="AV1459" s="8"/>
      <c r="AW1459" s="8"/>
      <c r="AX1459" s="8"/>
      <c r="AY1459" s="8"/>
      <c r="AZ1459" s="10"/>
    </row>
    <row r="1460" spans="2:52" x14ac:dyDescent="0.35">
      <c r="B1460" s="7"/>
      <c r="C1460" s="8"/>
      <c r="D1460" s="8"/>
      <c r="E1460" s="8"/>
      <c r="F1460" s="8"/>
      <c r="G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  <c r="AD1460" s="8"/>
      <c r="AE1460" s="8"/>
      <c r="AF1460" s="8"/>
      <c r="AG1460" s="8"/>
      <c r="AH1460" s="8"/>
      <c r="AI1460" s="8"/>
      <c r="AJ1460" s="8"/>
      <c r="AK1460" s="8"/>
      <c r="AL1460" s="8"/>
      <c r="AM1460" s="8"/>
      <c r="AN1460" s="8"/>
      <c r="AO1460" s="8"/>
      <c r="AP1460" s="8"/>
      <c r="AQ1460" s="8"/>
      <c r="AR1460" s="8"/>
      <c r="AS1460" s="8"/>
      <c r="AT1460" s="8"/>
      <c r="AU1460" s="8"/>
      <c r="AV1460" s="8"/>
      <c r="AW1460" s="8"/>
      <c r="AX1460" s="8"/>
      <c r="AY1460" s="8"/>
      <c r="AZ1460" s="10"/>
    </row>
    <row r="1461" spans="2:52" x14ac:dyDescent="0.35">
      <c r="B1461" s="7"/>
      <c r="C1461" s="8"/>
      <c r="D1461" s="8"/>
      <c r="E1461" s="8"/>
      <c r="F1461" s="8"/>
      <c r="G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  <c r="AD1461" s="8"/>
      <c r="AE1461" s="8"/>
      <c r="AF1461" s="8"/>
      <c r="AG1461" s="8"/>
      <c r="AH1461" s="8"/>
      <c r="AI1461" s="8"/>
      <c r="AJ1461" s="8"/>
      <c r="AK1461" s="8"/>
      <c r="AL1461" s="8"/>
      <c r="AM1461" s="8"/>
      <c r="AN1461" s="8"/>
      <c r="AO1461" s="8"/>
      <c r="AP1461" s="8"/>
      <c r="AQ1461" s="8"/>
      <c r="AR1461" s="8"/>
      <c r="AS1461" s="8"/>
      <c r="AT1461" s="8"/>
      <c r="AU1461" s="8"/>
      <c r="AV1461" s="8"/>
      <c r="AW1461" s="8"/>
      <c r="AX1461" s="8"/>
      <c r="AY1461" s="8"/>
      <c r="AZ1461" s="10"/>
    </row>
    <row r="1462" spans="2:52" x14ac:dyDescent="0.35">
      <c r="B1462" s="7"/>
      <c r="C1462" s="8"/>
      <c r="D1462" s="8"/>
      <c r="E1462" s="8"/>
      <c r="F1462" s="8"/>
      <c r="G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10"/>
    </row>
    <row r="1463" spans="2:52" x14ac:dyDescent="0.35">
      <c r="B1463" s="7"/>
      <c r="C1463" s="8"/>
      <c r="D1463" s="8"/>
      <c r="E1463" s="8"/>
      <c r="F1463" s="8"/>
      <c r="G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  <c r="AD1463" s="8"/>
      <c r="AE1463" s="8"/>
      <c r="AF1463" s="8"/>
      <c r="AG1463" s="8"/>
      <c r="AH1463" s="8"/>
      <c r="AI1463" s="8"/>
      <c r="AJ1463" s="8"/>
      <c r="AK1463" s="8"/>
      <c r="AL1463" s="8"/>
      <c r="AM1463" s="8"/>
      <c r="AN1463" s="8"/>
      <c r="AO1463" s="8"/>
      <c r="AP1463" s="8"/>
      <c r="AQ1463" s="8"/>
      <c r="AR1463" s="8"/>
      <c r="AS1463" s="8"/>
      <c r="AT1463" s="8"/>
      <c r="AU1463" s="8"/>
      <c r="AV1463" s="8"/>
      <c r="AW1463" s="8"/>
      <c r="AX1463" s="8"/>
      <c r="AY1463" s="8"/>
      <c r="AZ1463" s="10"/>
    </row>
    <row r="1464" spans="2:52" x14ac:dyDescent="0.35">
      <c r="B1464" s="7"/>
      <c r="C1464" s="8"/>
      <c r="D1464" s="8"/>
      <c r="E1464" s="8"/>
      <c r="F1464" s="8"/>
      <c r="G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  <c r="AD1464" s="8"/>
      <c r="AE1464" s="8"/>
      <c r="AF1464" s="8"/>
      <c r="AG1464" s="8"/>
      <c r="AH1464" s="8"/>
      <c r="AI1464" s="8"/>
      <c r="AJ1464" s="8"/>
      <c r="AK1464" s="8"/>
      <c r="AL1464" s="8"/>
      <c r="AM1464" s="8"/>
      <c r="AN1464" s="8"/>
      <c r="AO1464" s="8"/>
      <c r="AP1464" s="8"/>
      <c r="AQ1464" s="8"/>
      <c r="AR1464" s="8"/>
      <c r="AS1464" s="8"/>
      <c r="AT1464" s="8"/>
      <c r="AU1464" s="8"/>
      <c r="AV1464" s="8"/>
      <c r="AW1464" s="8"/>
      <c r="AX1464" s="8"/>
      <c r="AY1464" s="8"/>
      <c r="AZ1464" s="10"/>
    </row>
    <row r="1465" spans="2:52" x14ac:dyDescent="0.35">
      <c r="B1465" s="7"/>
      <c r="C1465" s="8"/>
      <c r="D1465" s="8"/>
      <c r="E1465" s="8"/>
      <c r="F1465" s="8"/>
      <c r="G1465" s="8"/>
      <c r="H1465" s="8"/>
      <c r="I1465" s="8"/>
      <c r="J1465" s="8"/>
      <c r="K1465" s="8"/>
      <c r="L1465" s="8"/>
      <c r="M1465" s="8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  <c r="AG1465" s="8"/>
      <c r="AH1465" s="8"/>
      <c r="AI1465" s="8"/>
      <c r="AJ1465" s="8"/>
      <c r="AK1465" s="8"/>
      <c r="AL1465" s="8"/>
      <c r="AM1465" s="8"/>
      <c r="AN1465" s="8"/>
      <c r="AO1465" s="8"/>
      <c r="AP1465" s="8"/>
      <c r="AQ1465" s="8"/>
      <c r="AR1465" s="8"/>
      <c r="AS1465" s="8"/>
      <c r="AT1465" s="8"/>
      <c r="AU1465" s="8"/>
      <c r="AV1465" s="8"/>
      <c r="AW1465" s="8"/>
      <c r="AX1465" s="8"/>
      <c r="AY1465" s="8"/>
      <c r="AZ1465" s="10"/>
    </row>
    <row r="1466" spans="2:52" x14ac:dyDescent="0.35">
      <c r="B1466" s="7"/>
      <c r="C1466" s="8"/>
      <c r="D1466" s="8"/>
      <c r="E1466" s="8"/>
      <c r="F1466" s="8"/>
      <c r="G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  <c r="AG1466" s="8"/>
      <c r="AH1466" s="8"/>
      <c r="AI1466" s="8"/>
      <c r="AJ1466" s="8"/>
      <c r="AK1466" s="8"/>
      <c r="AL1466" s="8"/>
      <c r="AM1466" s="8"/>
      <c r="AN1466" s="8"/>
      <c r="AO1466" s="8"/>
      <c r="AP1466" s="8"/>
      <c r="AQ1466" s="8"/>
      <c r="AR1466" s="8"/>
      <c r="AS1466" s="8"/>
      <c r="AT1466" s="8"/>
      <c r="AU1466" s="8"/>
      <c r="AV1466" s="8"/>
      <c r="AW1466" s="8"/>
      <c r="AX1466" s="8"/>
      <c r="AY1466" s="8"/>
      <c r="AZ1466" s="10"/>
    </row>
    <row r="1467" spans="2:52" x14ac:dyDescent="0.35">
      <c r="B1467" s="7"/>
      <c r="C1467" s="8"/>
      <c r="D1467" s="8"/>
      <c r="E1467" s="8"/>
      <c r="F1467" s="8"/>
      <c r="G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  <c r="AG1467" s="8"/>
      <c r="AH1467" s="8"/>
      <c r="AI1467" s="8"/>
      <c r="AJ1467" s="8"/>
      <c r="AK1467" s="8"/>
      <c r="AL1467" s="8"/>
      <c r="AM1467" s="8"/>
      <c r="AN1467" s="8"/>
      <c r="AO1467" s="8"/>
      <c r="AP1467" s="8"/>
      <c r="AQ1467" s="8"/>
      <c r="AR1467" s="8"/>
      <c r="AS1467" s="8"/>
      <c r="AT1467" s="8"/>
      <c r="AU1467" s="8"/>
      <c r="AV1467" s="8"/>
      <c r="AW1467" s="8"/>
      <c r="AX1467" s="8"/>
      <c r="AY1467" s="8"/>
      <c r="AZ1467" s="10"/>
    </row>
    <row r="1468" spans="2:52" x14ac:dyDescent="0.35">
      <c r="B1468" s="7"/>
      <c r="C1468" s="8"/>
      <c r="D1468" s="8"/>
      <c r="E1468" s="8"/>
      <c r="F1468" s="8"/>
      <c r="G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  <c r="AG1468" s="8"/>
      <c r="AH1468" s="8"/>
      <c r="AI1468" s="8"/>
      <c r="AJ1468" s="8"/>
      <c r="AK1468" s="8"/>
      <c r="AL1468" s="8"/>
      <c r="AM1468" s="8"/>
      <c r="AN1468" s="8"/>
      <c r="AO1468" s="8"/>
      <c r="AP1468" s="8"/>
      <c r="AQ1468" s="8"/>
      <c r="AR1468" s="8"/>
      <c r="AS1468" s="8"/>
      <c r="AT1468" s="8"/>
      <c r="AU1468" s="8"/>
      <c r="AV1468" s="8"/>
      <c r="AW1468" s="8"/>
      <c r="AX1468" s="8"/>
      <c r="AY1468" s="8"/>
      <c r="AZ1468" s="10"/>
    </row>
    <row r="1469" spans="2:52" x14ac:dyDescent="0.35">
      <c r="B1469" s="7"/>
      <c r="C1469" s="8"/>
      <c r="D1469" s="8"/>
      <c r="E1469" s="8"/>
      <c r="F1469" s="8"/>
      <c r="G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  <c r="AG1469" s="8"/>
      <c r="AH1469" s="8"/>
      <c r="AI1469" s="8"/>
      <c r="AJ1469" s="8"/>
      <c r="AK1469" s="8"/>
      <c r="AL1469" s="8"/>
      <c r="AM1469" s="8"/>
      <c r="AN1469" s="8"/>
      <c r="AO1469" s="8"/>
      <c r="AP1469" s="8"/>
      <c r="AQ1469" s="8"/>
      <c r="AR1469" s="8"/>
      <c r="AS1469" s="8"/>
      <c r="AT1469" s="8"/>
      <c r="AU1469" s="8"/>
      <c r="AV1469" s="8"/>
      <c r="AW1469" s="8"/>
      <c r="AX1469" s="8"/>
      <c r="AY1469" s="8"/>
      <c r="AZ1469" s="10"/>
    </row>
    <row r="1470" spans="2:52" x14ac:dyDescent="0.35">
      <c r="B1470" s="7"/>
      <c r="C1470" s="8"/>
      <c r="D1470" s="8"/>
      <c r="E1470" s="8"/>
      <c r="F1470" s="8"/>
      <c r="G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  <c r="AD1470" s="8"/>
      <c r="AE1470" s="8"/>
      <c r="AF1470" s="8"/>
      <c r="AG1470" s="8"/>
      <c r="AH1470" s="8"/>
      <c r="AI1470" s="8"/>
      <c r="AJ1470" s="8"/>
      <c r="AK1470" s="8"/>
      <c r="AL1470" s="8"/>
      <c r="AM1470" s="8"/>
      <c r="AN1470" s="8"/>
      <c r="AO1470" s="8"/>
      <c r="AP1470" s="8"/>
      <c r="AQ1470" s="8"/>
      <c r="AR1470" s="8"/>
      <c r="AS1470" s="8"/>
      <c r="AT1470" s="8"/>
      <c r="AU1470" s="8"/>
      <c r="AV1470" s="8"/>
      <c r="AW1470" s="8"/>
      <c r="AX1470" s="8"/>
      <c r="AY1470" s="8"/>
      <c r="AZ1470" s="10"/>
    </row>
    <row r="1471" spans="2:52" x14ac:dyDescent="0.35">
      <c r="B1471" s="7"/>
      <c r="C1471" s="8"/>
      <c r="D1471" s="8"/>
      <c r="E1471" s="8"/>
      <c r="F1471" s="8"/>
      <c r="G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  <c r="AD1471" s="8"/>
      <c r="AE1471" s="8"/>
      <c r="AF1471" s="8"/>
      <c r="AG1471" s="8"/>
      <c r="AH1471" s="8"/>
      <c r="AI1471" s="8"/>
      <c r="AJ1471" s="8"/>
      <c r="AK1471" s="8"/>
      <c r="AL1471" s="8"/>
      <c r="AM1471" s="8"/>
      <c r="AN1471" s="8"/>
      <c r="AO1471" s="8"/>
      <c r="AP1471" s="8"/>
      <c r="AQ1471" s="8"/>
      <c r="AR1471" s="8"/>
      <c r="AS1471" s="8"/>
      <c r="AT1471" s="8"/>
      <c r="AU1471" s="8"/>
      <c r="AV1471" s="8"/>
      <c r="AW1471" s="8"/>
      <c r="AX1471" s="8"/>
      <c r="AY1471" s="8"/>
      <c r="AZ1471" s="10"/>
    </row>
    <row r="1472" spans="2:52" x14ac:dyDescent="0.35">
      <c r="B1472" s="7"/>
      <c r="C1472" s="8"/>
      <c r="D1472" s="8"/>
      <c r="E1472" s="8"/>
      <c r="F1472" s="8"/>
      <c r="G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  <c r="AD1472" s="8"/>
      <c r="AE1472" s="8"/>
      <c r="AF1472" s="8"/>
      <c r="AG1472" s="8"/>
      <c r="AH1472" s="8"/>
      <c r="AI1472" s="8"/>
      <c r="AJ1472" s="8"/>
      <c r="AK1472" s="8"/>
      <c r="AL1472" s="8"/>
      <c r="AM1472" s="8"/>
      <c r="AN1472" s="8"/>
      <c r="AO1472" s="8"/>
      <c r="AP1472" s="8"/>
      <c r="AQ1472" s="8"/>
      <c r="AR1472" s="8"/>
      <c r="AS1472" s="8"/>
      <c r="AT1472" s="8"/>
      <c r="AU1472" s="8"/>
      <c r="AV1472" s="8"/>
      <c r="AW1472" s="8"/>
      <c r="AX1472" s="8"/>
      <c r="AY1472" s="8"/>
      <c r="AZ1472" s="10"/>
    </row>
    <row r="1473" spans="2:52" x14ac:dyDescent="0.35">
      <c r="B1473" s="7"/>
      <c r="C1473" s="8"/>
      <c r="D1473" s="8"/>
      <c r="E1473" s="8"/>
      <c r="F1473" s="8"/>
      <c r="G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  <c r="AD1473" s="8"/>
      <c r="AE1473" s="8"/>
      <c r="AF1473" s="8"/>
      <c r="AG1473" s="8"/>
      <c r="AH1473" s="8"/>
      <c r="AI1473" s="8"/>
      <c r="AJ1473" s="8"/>
      <c r="AK1473" s="8"/>
      <c r="AL1473" s="8"/>
      <c r="AM1473" s="8"/>
      <c r="AN1473" s="8"/>
      <c r="AO1473" s="8"/>
      <c r="AP1473" s="8"/>
      <c r="AQ1473" s="8"/>
      <c r="AR1473" s="8"/>
      <c r="AS1473" s="8"/>
      <c r="AT1473" s="8"/>
      <c r="AU1473" s="8"/>
      <c r="AV1473" s="8"/>
      <c r="AW1473" s="8"/>
      <c r="AX1473" s="8"/>
      <c r="AY1473" s="8"/>
      <c r="AZ1473" s="10"/>
    </row>
    <row r="1474" spans="2:52" x14ac:dyDescent="0.35">
      <c r="B1474" s="7"/>
      <c r="C1474" s="8"/>
      <c r="D1474" s="8"/>
      <c r="E1474" s="8"/>
      <c r="F1474" s="8"/>
      <c r="G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  <c r="AD1474" s="8"/>
      <c r="AE1474" s="8"/>
      <c r="AF1474" s="8"/>
      <c r="AG1474" s="8"/>
      <c r="AH1474" s="8"/>
      <c r="AI1474" s="8"/>
      <c r="AJ1474" s="8"/>
      <c r="AK1474" s="8"/>
      <c r="AL1474" s="8"/>
      <c r="AM1474" s="8"/>
      <c r="AN1474" s="8"/>
      <c r="AO1474" s="8"/>
      <c r="AP1474" s="8"/>
      <c r="AQ1474" s="8"/>
      <c r="AR1474" s="8"/>
      <c r="AS1474" s="8"/>
      <c r="AT1474" s="8"/>
      <c r="AU1474" s="8"/>
      <c r="AV1474" s="8"/>
      <c r="AW1474" s="8"/>
      <c r="AX1474" s="8"/>
      <c r="AY1474" s="8"/>
      <c r="AZ1474" s="10"/>
    </row>
    <row r="1475" spans="2:52" x14ac:dyDescent="0.35">
      <c r="B1475" s="7"/>
      <c r="C1475" s="8"/>
      <c r="D1475" s="8"/>
      <c r="E1475" s="8"/>
      <c r="F1475" s="8"/>
      <c r="G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  <c r="AD1475" s="8"/>
      <c r="AE1475" s="8"/>
      <c r="AF1475" s="8"/>
      <c r="AG1475" s="8"/>
      <c r="AH1475" s="8"/>
      <c r="AI1475" s="8"/>
      <c r="AJ1475" s="8"/>
      <c r="AK1475" s="8"/>
      <c r="AL1475" s="8"/>
      <c r="AM1475" s="8"/>
      <c r="AN1475" s="8"/>
      <c r="AO1475" s="8"/>
      <c r="AP1475" s="8"/>
      <c r="AQ1475" s="8"/>
      <c r="AR1475" s="8"/>
      <c r="AS1475" s="8"/>
      <c r="AT1475" s="8"/>
      <c r="AU1475" s="8"/>
      <c r="AV1475" s="8"/>
      <c r="AW1475" s="8"/>
      <c r="AX1475" s="8"/>
      <c r="AY1475" s="8"/>
      <c r="AZ1475" s="10"/>
    </row>
    <row r="1476" spans="2:52" x14ac:dyDescent="0.35">
      <c r="B1476" s="7"/>
      <c r="C1476" s="8"/>
      <c r="D1476" s="8"/>
      <c r="E1476" s="8"/>
      <c r="F1476" s="8"/>
      <c r="G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  <c r="AD1476" s="8"/>
      <c r="AE1476" s="8"/>
      <c r="AF1476" s="8"/>
      <c r="AG1476" s="8"/>
      <c r="AH1476" s="8"/>
      <c r="AI1476" s="8"/>
      <c r="AJ1476" s="8"/>
      <c r="AK1476" s="8"/>
      <c r="AL1476" s="8"/>
      <c r="AM1476" s="8"/>
      <c r="AN1476" s="8"/>
      <c r="AO1476" s="8"/>
      <c r="AP1476" s="8"/>
      <c r="AQ1476" s="8"/>
      <c r="AR1476" s="8"/>
      <c r="AS1476" s="8"/>
      <c r="AT1476" s="8"/>
      <c r="AU1476" s="8"/>
      <c r="AV1476" s="8"/>
      <c r="AW1476" s="8"/>
      <c r="AX1476" s="8"/>
      <c r="AY1476" s="8"/>
      <c r="AZ1476" s="10"/>
    </row>
    <row r="1477" spans="2:52" x14ac:dyDescent="0.35">
      <c r="B1477" s="7"/>
      <c r="C1477" s="8"/>
      <c r="D1477" s="8"/>
      <c r="E1477" s="8"/>
      <c r="F1477" s="8"/>
      <c r="G1477" s="8"/>
      <c r="H1477" s="8"/>
      <c r="I1477" s="8"/>
      <c r="J1477" s="8"/>
      <c r="K1477" s="8"/>
      <c r="L1477" s="8"/>
      <c r="M1477" s="8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  <c r="AD1477" s="8"/>
      <c r="AE1477" s="8"/>
      <c r="AF1477" s="8"/>
      <c r="AG1477" s="8"/>
      <c r="AH1477" s="8"/>
      <c r="AI1477" s="8"/>
      <c r="AJ1477" s="8"/>
      <c r="AK1477" s="8"/>
      <c r="AL1477" s="8"/>
      <c r="AM1477" s="8"/>
      <c r="AN1477" s="8"/>
      <c r="AO1477" s="8"/>
      <c r="AP1477" s="8"/>
      <c r="AQ1477" s="8"/>
      <c r="AR1477" s="8"/>
      <c r="AS1477" s="8"/>
      <c r="AT1477" s="8"/>
      <c r="AU1477" s="8"/>
      <c r="AV1477" s="8"/>
      <c r="AW1477" s="8"/>
      <c r="AX1477" s="8"/>
      <c r="AY1477" s="8"/>
      <c r="AZ1477" s="10"/>
    </row>
    <row r="1478" spans="2:52" x14ac:dyDescent="0.35">
      <c r="B1478" s="7"/>
      <c r="C1478" s="8"/>
      <c r="D1478" s="8"/>
      <c r="E1478" s="8"/>
      <c r="F1478" s="8"/>
      <c r="G1478" s="8"/>
      <c r="H1478" s="8"/>
      <c r="I1478" s="8"/>
      <c r="J1478" s="8"/>
      <c r="K1478" s="8"/>
      <c r="L1478" s="8"/>
      <c r="M1478" s="8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8"/>
      <c r="AE1478" s="8"/>
      <c r="AF1478" s="8"/>
      <c r="AG1478" s="8"/>
      <c r="AH1478" s="8"/>
      <c r="AI1478" s="8"/>
      <c r="AJ1478" s="8"/>
      <c r="AK1478" s="8"/>
      <c r="AL1478" s="8"/>
      <c r="AM1478" s="8"/>
      <c r="AN1478" s="8"/>
      <c r="AO1478" s="8"/>
      <c r="AP1478" s="8"/>
      <c r="AQ1478" s="8"/>
      <c r="AR1478" s="8"/>
      <c r="AS1478" s="8"/>
      <c r="AT1478" s="8"/>
      <c r="AU1478" s="8"/>
      <c r="AV1478" s="8"/>
      <c r="AW1478" s="8"/>
      <c r="AX1478" s="8"/>
      <c r="AY1478" s="8"/>
      <c r="AZ1478" s="10"/>
    </row>
    <row r="1479" spans="2:52" x14ac:dyDescent="0.35">
      <c r="B1479" s="7"/>
      <c r="C1479" s="8"/>
      <c r="D1479" s="8"/>
      <c r="E1479" s="8"/>
      <c r="F1479" s="8"/>
      <c r="G1479" s="8"/>
      <c r="H1479" s="8"/>
      <c r="I1479" s="8"/>
      <c r="J1479" s="8"/>
      <c r="K1479" s="8"/>
      <c r="L1479" s="8"/>
      <c r="M1479" s="8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8"/>
      <c r="AE1479" s="8"/>
      <c r="AF1479" s="8"/>
      <c r="AG1479" s="8"/>
      <c r="AH1479" s="8"/>
      <c r="AI1479" s="8"/>
      <c r="AJ1479" s="8"/>
      <c r="AK1479" s="8"/>
      <c r="AL1479" s="8"/>
      <c r="AM1479" s="8"/>
      <c r="AN1479" s="8"/>
      <c r="AO1479" s="8"/>
      <c r="AP1479" s="8"/>
      <c r="AQ1479" s="8"/>
      <c r="AR1479" s="8"/>
      <c r="AS1479" s="8"/>
      <c r="AT1479" s="8"/>
      <c r="AU1479" s="8"/>
      <c r="AV1479" s="8"/>
      <c r="AW1479" s="8"/>
      <c r="AX1479" s="8"/>
      <c r="AY1479" s="8"/>
      <c r="AZ1479" s="10"/>
    </row>
    <row r="1480" spans="2:52" x14ac:dyDescent="0.35">
      <c r="B1480" s="7"/>
      <c r="C1480" s="8"/>
      <c r="D1480" s="8"/>
      <c r="E1480" s="8"/>
      <c r="F1480" s="8"/>
      <c r="G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8"/>
      <c r="AE1480" s="8"/>
      <c r="AF1480" s="8"/>
      <c r="AG1480" s="8"/>
      <c r="AH1480" s="8"/>
      <c r="AI1480" s="8"/>
      <c r="AJ1480" s="8"/>
      <c r="AK1480" s="8"/>
      <c r="AL1480" s="8"/>
      <c r="AM1480" s="8"/>
      <c r="AN1480" s="8"/>
      <c r="AO1480" s="8"/>
      <c r="AP1480" s="8"/>
      <c r="AQ1480" s="8"/>
      <c r="AR1480" s="8"/>
      <c r="AS1480" s="8"/>
      <c r="AT1480" s="8"/>
      <c r="AU1480" s="8"/>
      <c r="AV1480" s="8"/>
      <c r="AW1480" s="8"/>
      <c r="AX1480" s="8"/>
      <c r="AY1480" s="8"/>
      <c r="AZ1480" s="10"/>
    </row>
    <row r="1481" spans="2:52" x14ac:dyDescent="0.35">
      <c r="B1481" s="7"/>
      <c r="C1481" s="8"/>
      <c r="D1481" s="8"/>
      <c r="E1481" s="8"/>
      <c r="F1481" s="8"/>
      <c r="G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  <c r="AD1481" s="8"/>
      <c r="AE1481" s="8"/>
      <c r="AF1481" s="8"/>
      <c r="AG1481" s="8"/>
      <c r="AH1481" s="8"/>
      <c r="AI1481" s="8"/>
      <c r="AJ1481" s="8"/>
      <c r="AK1481" s="8"/>
      <c r="AL1481" s="8"/>
      <c r="AM1481" s="8"/>
      <c r="AN1481" s="8"/>
      <c r="AO1481" s="8"/>
      <c r="AP1481" s="8"/>
      <c r="AQ1481" s="8"/>
      <c r="AR1481" s="8"/>
      <c r="AS1481" s="8"/>
      <c r="AT1481" s="8"/>
      <c r="AU1481" s="8"/>
      <c r="AV1481" s="8"/>
      <c r="AW1481" s="8"/>
      <c r="AX1481" s="8"/>
      <c r="AY1481" s="8"/>
      <c r="AZ1481" s="10"/>
    </row>
    <row r="1482" spans="2:52" x14ac:dyDescent="0.35">
      <c r="B1482" s="7"/>
      <c r="C1482" s="8"/>
      <c r="D1482" s="8"/>
      <c r="E1482" s="8"/>
      <c r="F1482" s="8"/>
      <c r="G1482" s="8"/>
      <c r="H1482" s="8"/>
      <c r="I1482" s="8"/>
      <c r="J1482" s="8"/>
      <c r="K1482" s="8"/>
      <c r="L1482" s="8"/>
      <c r="M1482" s="8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  <c r="AD1482" s="8"/>
      <c r="AE1482" s="8"/>
      <c r="AF1482" s="8"/>
      <c r="AG1482" s="8"/>
      <c r="AH1482" s="8"/>
      <c r="AI1482" s="8"/>
      <c r="AJ1482" s="8"/>
      <c r="AK1482" s="8"/>
      <c r="AL1482" s="8"/>
      <c r="AM1482" s="8"/>
      <c r="AN1482" s="8"/>
      <c r="AO1482" s="8"/>
      <c r="AP1482" s="8"/>
      <c r="AQ1482" s="8"/>
      <c r="AR1482" s="8"/>
      <c r="AS1482" s="8"/>
      <c r="AT1482" s="8"/>
      <c r="AU1482" s="8"/>
      <c r="AV1482" s="8"/>
      <c r="AW1482" s="8"/>
      <c r="AX1482" s="8"/>
      <c r="AY1482" s="8"/>
      <c r="AZ1482" s="10"/>
    </row>
    <row r="1483" spans="2:52" x14ac:dyDescent="0.35">
      <c r="B1483" s="7"/>
      <c r="C1483" s="8"/>
      <c r="D1483" s="8"/>
      <c r="E1483" s="8"/>
      <c r="F1483" s="8"/>
      <c r="G1483" s="8"/>
      <c r="H1483" s="8"/>
      <c r="I1483" s="8"/>
      <c r="J1483" s="8"/>
      <c r="K1483" s="8"/>
      <c r="L1483" s="8"/>
      <c r="M1483" s="8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  <c r="AD1483" s="8"/>
      <c r="AE1483" s="8"/>
      <c r="AF1483" s="8"/>
      <c r="AG1483" s="8"/>
      <c r="AH1483" s="8"/>
      <c r="AI1483" s="8"/>
      <c r="AJ1483" s="8"/>
      <c r="AK1483" s="8"/>
      <c r="AL1483" s="8"/>
      <c r="AM1483" s="8"/>
      <c r="AN1483" s="8"/>
      <c r="AO1483" s="8"/>
      <c r="AP1483" s="8"/>
      <c r="AQ1483" s="8"/>
      <c r="AR1483" s="8"/>
      <c r="AS1483" s="8"/>
      <c r="AT1483" s="8"/>
      <c r="AU1483" s="8"/>
      <c r="AV1483" s="8"/>
      <c r="AW1483" s="8"/>
      <c r="AX1483" s="8"/>
      <c r="AY1483" s="8"/>
      <c r="AZ1483" s="10"/>
    </row>
    <row r="1484" spans="2:52" x14ac:dyDescent="0.35">
      <c r="B1484" s="7"/>
      <c r="C1484" s="8"/>
      <c r="D1484" s="8"/>
      <c r="E1484" s="8"/>
      <c r="F1484" s="8"/>
      <c r="G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8"/>
      <c r="AE1484" s="8"/>
      <c r="AF1484" s="8"/>
      <c r="AG1484" s="8"/>
      <c r="AH1484" s="8"/>
      <c r="AI1484" s="8"/>
      <c r="AJ1484" s="8"/>
      <c r="AK1484" s="8"/>
      <c r="AL1484" s="8"/>
      <c r="AM1484" s="8"/>
      <c r="AN1484" s="8"/>
      <c r="AO1484" s="8"/>
      <c r="AP1484" s="8"/>
      <c r="AQ1484" s="8"/>
      <c r="AR1484" s="8"/>
      <c r="AS1484" s="8"/>
      <c r="AT1484" s="8"/>
      <c r="AU1484" s="8"/>
      <c r="AV1484" s="8"/>
      <c r="AW1484" s="8"/>
      <c r="AX1484" s="8"/>
      <c r="AY1484" s="8"/>
      <c r="AZ1484" s="10"/>
    </row>
    <row r="1485" spans="2:52" x14ac:dyDescent="0.35">
      <c r="B1485" s="7"/>
      <c r="C1485" s="8"/>
      <c r="D1485" s="8"/>
      <c r="E1485" s="8"/>
      <c r="F1485" s="8"/>
      <c r="G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8"/>
      <c r="AE1485" s="8"/>
      <c r="AF1485" s="8"/>
      <c r="AG1485" s="8"/>
      <c r="AH1485" s="8"/>
      <c r="AI1485" s="8"/>
      <c r="AJ1485" s="8"/>
      <c r="AK1485" s="8"/>
      <c r="AL1485" s="8"/>
      <c r="AM1485" s="8"/>
      <c r="AN1485" s="8"/>
      <c r="AO1485" s="8"/>
      <c r="AP1485" s="8"/>
      <c r="AQ1485" s="8"/>
      <c r="AR1485" s="8"/>
      <c r="AS1485" s="8"/>
      <c r="AT1485" s="8"/>
      <c r="AU1485" s="8"/>
      <c r="AV1485" s="8"/>
      <c r="AW1485" s="8"/>
      <c r="AX1485" s="8"/>
      <c r="AY1485" s="8"/>
      <c r="AZ1485" s="10"/>
    </row>
    <row r="1486" spans="2:52" x14ac:dyDescent="0.35">
      <c r="B1486" s="7"/>
      <c r="C1486" s="8"/>
      <c r="D1486" s="8"/>
      <c r="E1486" s="8"/>
      <c r="F1486" s="8"/>
      <c r="G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  <c r="AD1486" s="8"/>
      <c r="AE1486" s="8"/>
      <c r="AF1486" s="8"/>
      <c r="AG1486" s="8"/>
      <c r="AH1486" s="8"/>
      <c r="AI1486" s="8"/>
      <c r="AJ1486" s="8"/>
      <c r="AK1486" s="8"/>
      <c r="AL1486" s="8"/>
      <c r="AM1486" s="8"/>
      <c r="AN1486" s="8"/>
      <c r="AO1486" s="8"/>
      <c r="AP1486" s="8"/>
      <c r="AQ1486" s="8"/>
      <c r="AR1486" s="8"/>
      <c r="AS1486" s="8"/>
      <c r="AT1486" s="8"/>
      <c r="AU1486" s="8"/>
      <c r="AV1486" s="8"/>
      <c r="AW1486" s="8"/>
      <c r="AX1486" s="8"/>
      <c r="AY1486" s="8"/>
      <c r="AZ1486" s="10"/>
    </row>
    <row r="1487" spans="2:52" x14ac:dyDescent="0.35">
      <c r="B1487" s="7"/>
      <c r="C1487" s="8"/>
      <c r="D1487" s="8"/>
      <c r="E1487" s="8"/>
      <c r="F1487" s="8"/>
      <c r="G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  <c r="AD1487" s="8"/>
      <c r="AE1487" s="8"/>
      <c r="AF1487" s="8"/>
      <c r="AG1487" s="8"/>
      <c r="AH1487" s="8"/>
      <c r="AI1487" s="8"/>
      <c r="AJ1487" s="8"/>
      <c r="AK1487" s="8"/>
      <c r="AL1487" s="8"/>
      <c r="AM1487" s="8"/>
      <c r="AN1487" s="8"/>
      <c r="AO1487" s="8"/>
      <c r="AP1487" s="8"/>
      <c r="AQ1487" s="8"/>
      <c r="AR1487" s="8"/>
      <c r="AS1487" s="8"/>
      <c r="AT1487" s="8"/>
      <c r="AU1487" s="8"/>
      <c r="AV1487" s="8"/>
      <c r="AW1487" s="8"/>
      <c r="AX1487" s="8"/>
      <c r="AY1487" s="8"/>
      <c r="AZ1487" s="10"/>
    </row>
    <row r="1488" spans="2:52" x14ac:dyDescent="0.35">
      <c r="B1488" s="7"/>
      <c r="C1488" s="8"/>
      <c r="D1488" s="8"/>
      <c r="E1488" s="8"/>
      <c r="F1488" s="8"/>
      <c r="G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  <c r="AD1488" s="8"/>
      <c r="AE1488" s="8"/>
      <c r="AF1488" s="8"/>
      <c r="AG1488" s="8"/>
      <c r="AH1488" s="8"/>
      <c r="AI1488" s="8"/>
      <c r="AJ1488" s="8"/>
      <c r="AK1488" s="8"/>
      <c r="AL1488" s="8"/>
      <c r="AM1488" s="8"/>
      <c r="AN1488" s="8"/>
      <c r="AO1488" s="8"/>
      <c r="AP1488" s="8"/>
      <c r="AQ1488" s="8"/>
      <c r="AR1488" s="8"/>
      <c r="AS1488" s="8"/>
      <c r="AT1488" s="8"/>
      <c r="AU1488" s="8"/>
      <c r="AV1488" s="8"/>
      <c r="AW1488" s="8"/>
      <c r="AX1488" s="8"/>
      <c r="AY1488" s="8"/>
      <c r="AZ1488" s="10"/>
    </row>
    <row r="1489" spans="2:52" x14ac:dyDescent="0.35">
      <c r="B1489" s="7"/>
      <c r="C1489" s="8"/>
      <c r="D1489" s="8"/>
      <c r="E1489" s="8"/>
      <c r="F1489" s="8"/>
      <c r="G1489" s="8"/>
      <c r="H1489" s="8"/>
      <c r="I1489" s="8"/>
      <c r="J1489" s="8"/>
      <c r="K1489" s="8"/>
      <c r="L1489" s="8"/>
      <c r="M1489" s="8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  <c r="AD1489" s="8"/>
      <c r="AE1489" s="8"/>
      <c r="AF1489" s="8"/>
      <c r="AG1489" s="8"/>
      <c r="AH1489" s="8"/>
      <c r="AI1489" s="8"/>
      <c r="AJ1489" s="8"/>
      <c r="AK1489" s="8"/>
      <c r="AL1489" s="8"/>
      <c r="AM1489" s="8"/>
      <c r="AN1489" s="8"/>
      <c r="AO1489" s="8"/>
      <c r="AP1489" s="8"/>
      <c r="AQ1489" s="8"/>
      <c r="AR1489" s="8"/>
      <c r="AS1489" s="8"/>
      <c r="AT1489" s="8"/>
      <c r="AU1489" s="8"/>
      <c r="AV1489" s="8"/>
      <c r="AW1489" s="8"/>
      <c r="AX1489" s="8"/>
      <c r="AY1489" s="8"/>
      <c r="AZ1489" s="10"/>
    </row>
    <row r="1490" spans="2:52" x14ac:dyDescent="0.35">
      <c r="B1490" s="7"/>
      <c r="C1490" s="8"/>
      <c r="D1490" s="8"/>
      <c r="E1490" s="8"/>
      <c r="F1490" s="8"/>
      <c r="G1490" s="8"/>
      <c r="H1490" s="8"/>
      <c r="I1490" s="8"/>
      <c r="J1490" s="8"/>
      <c r="K1490" s="8"/>
      <c r="L1490" s="8"/>
      <c r="M1490" s="8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  <c r="AD1490" s="8"/>
      <c r="AE1490" s="8"/>
      <c r="AF1490" s="8"/>
      <c r="AG1490" s="8"/>
      <c r="AH1490" s="8"/>
      <c r="AI1490" s="8"/>
      <c r="AJ1490" s="8"/>
      <c r="AK1490" s="8"/>
      <c r="AL1490" s="8"/>
      <c r="AM1490" s="8"/>
      <c r="AN1490" s="8"/>
      <c r="AO1490" s="8"/>
      <c r="AP1490" s="8"/>
      <c r="AQ1490" s="8"/>
      <c r="AR1490" s="8"/>
      <c r="AS1490" s="8"/>
      <c r="AT1490" s="8"/>
      <c r="AU1490" s="8"/>
      <c r="AV1490" s="8"/>
      <c r="AW1490" s="8"/>
      <c r="AX1490" s="8"/>
      <c r="AY1490" s="8"/>
      <c r="AZ1490" s="10"/>
    </row>
    <row r="1491" spans="2:52" x14ac:dyDescent="0.35">
      <c r="B1491" s="7"/>
      <c r="C1491" s="8"/>
      <c r="D1491" s="8"/>
      <c r="E1491" s="8"/>
      <c r="F1491" s="8"/>
      <c r="G1491" s="8"/>
      <c r="H1491" s="8"/>
      <c r="I1491" s="8"/>
      <c r="J1491" s="8"/>
      <c r="K1491" s="8"/>
      <c r="L1491" s="8"/>
      <c r="M1491" s="8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  <c r="AD1491" s="8"/>
      <c r="AE1491" s="8"/>
      <c r="AF1491" s="8"/>
      <c r="AG1491" s="8"/>
      <c r="AH1491" s="8"/>
      <c r="AI1491" s="8"/>
      <c r="AJ1491" s="8"/>
      <c r="AK1491" s="8"/>
      <c r="AL1491" s="8"/>
      <c r="AM1491" s="8"/>
      <c r="AN1491" s="8"/>
      <c r="AO1491" s="8"/>
      <c r="AP1491" s="8"/>
      <c r="AQ1491" s="8"/>
      <c r="AR1491" s="8"/>
      <c r="AS1491" s="8"/>
      <c r="AT1491" s="8"/>
      <c r="AU1491" s="8"/>
      <c r="AV1491" s="8"/>
      <c r="AW1491" s="8"/>
      <c r="AX1491" s="8"/>
      <c r="AY1491" s="8"/>
      <c r="AZ1491" s="10"/>
    </row>
    <row r="1492" spans="2:52" x14ac:dyDescent="0.35">
      <c r="B1492" s="7"/>
      <c r="C1492" s="8"/>
      <c r="D1492" s="8"/>
      <c r="E1492" s="8"/>
      <c r="F1492" s="8"/>
      <c r="G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  <c r="AD1492" s="8"/>
      <c r="AE1492" s="8"/>
      <c r="AF1492" s="8"/>
      <c r="AG1492" s="8"/>
      <c r="AH1492" s="8"/>
      <c r="AI1492" s="8"/>
      <c r="AJ1492" s="8"/>
      <c r="AK1492" s="8"/>
      <c r="AL1492" s="8"/>
      <c r="AM1492" s="8"/>
      <c r="AN1492" s="8"/>
      <c r="AO1492" s="8"/>
      <c r="AP1492" s="8"/>
      <c r="AQ1492" s="8"/>
      <c r="AR1492" s="8"/>
      <c r="AS1492" s="8"/>
      <c r="AT1492" s="8"/>
      <c r="AU1492" s="8"/>
      <c r="AV1492" s="8"/>
      <c r="AW1492" s="8"/>
      <c r="AX1492" s="8"/>
      <c r="AY1492" s="8"/>
      <c r="AZ1492" s="10"/>
    </row>
    <row r="1493" spans="2:52" x14ac:dyDescent="0.35">
      <c r="B1493" s="7"/>
      <c r="C1493" s="8"/>
      <c r="D1493" s="8"/>
      <c r="E1493" s="8"/>
      <c r="F1493" s="8"/>
      <c r="G1493" s="8"/>
      <c r="H1493" s="8"/>
      <c r="I1493" s="8"/>
      <c r="J1493" s="8"/>
      <c r="K1493" s="8"/>
      <c r="L1493" s="8"/>
      <c r="M1493" s="8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  <c r="AD1493" s="8"/>
      <c r="AE1493" s="8"/>
      <c r="AF1493" s="8"/>
      <c r="AG1493" s="8"/>
      <c r="AH1493" s="8"/>
      <c r="AI1493" s="8"/>
      <c r="AJ1493" s="8"/>
      <c r="AK1493" s="8"/>
      <c r="AL1493" s="8"/>
      <c r="AM1493" s="8"/>
      <c r="AN1493" s="8"/>
      <c r="AO1493" s="8"/>
      <c r="AP1493" s="8"/>
      <c r="AQ1493" s="8"/>
      <c r="AR1493" s="8"/>
      <c r="AS1493" s="8"/>
      <c r="AT1493" s="8"/>
      <c r="AU1493" s="8"/>
      <c r="AV1493" s="8"/>
      <c r="AW1493" s="8"/>
      <c r="AX1493" s="8"/>
      <c r="AY1493" s="8"/>
      <c r="AZ1493" s="10"/>
    </row>
    <row r="1494" spans="2:52" x14ac:dyDescent="0.35">
      <c r="B1494" s="7"/>
      <c r="C1494" s="8"/>
      <c r="D1494" s="8"/>
      <c r="E1494" s="8"/>
      <c r="F1494" s="8"/>
      <c r="G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  <c r="AD1494" s="8"/>
      <c r="AE1494" s="8"/>
      <c r="AF1494" s="8"/>
      <c r="AG1494" s="8"/>
      <c r="AH1494" s="8"/>
      <c r="AI1494" s="8"/>
      <c r="AJ1494" s="8"/>
      <c r="AK1494" s="8"/>
      <c r="AL1494" s="8"/>
      <c r="AM1494" s="8"/>
      <c r="AN1494" s="8"/>
      <c r="AO1494" s="8"/>
      <c r="AP1494" s="8"/>
      <c r="AQ1494" s="8"/>
      <c r="AR1494" s="8"/>
      <c r="AS1494" s="8"/>
      <c r="AT1494" s="8"/>
      <c r="AU1494" s="8"/>
      <c r="AV1494" s="8"/>
      <c r="AW1494" s="8"/>
      <c r="AX1494" s="8"/>
      <c r="AY1494" s="8"/>
      <c r="AZ1494" s="10"/>
    </row>
    <row r="1495" spans="2:52" x14ac:dyDescent="0.35">
      <c r="B1495" s="7"/>
      <c r="C1495" s="8"/>
      <c r="D1495" s="8"/>
      <c r="E1495" s="8"/>
      <c r="F1495" s="8"/>
      <c r="G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  <c r="AD1495" s="8"/>
      <c r="AE1495" s="8"/>
      <c r="AF1495" s="8"/>
      <c r="AG1495" s="8"/>
      <c r="AH1495" s="8"/>
      <c r="AI1495" s="8"/>
      <c r="AJ1495" s="8"/>
      <c r="AK1495" s="8"/>
      <c r="AL1495" s="8"/>
      <c r="AM1495" s="8"/>
      <c r="AN1495" s="8"/>
      <c r="AO1495" s="8"/>
      <c r="AP1495" s="8"/>
      <c r="AQ1495" s="8"/>
      <c r="AR1495" s="8"/>
      <c r="AS1495" s="8"/>
      <c r="AT1495" s="8"/>
      <c r="AU1495" s="8"/>
      <c r="AV1495" s="8"/>
      <c r="AW1495" s="8"/>
      <c r="AX1495" s="8"/>
      <c r="AY1495" s="8"/>
      <c r="AZ1495" s="10"/>
    </row>
    <row r="1496" spans="2:52" x14ac:dyDescent="0.35">
      <c r="B1496" s="7"/>
      <c r="C1496" s="8"/>
      <c r="D1496" s="8"/>
      <c r="E1496" s="8"/>
      <c r="F1496" s="8"/>
      <c r="G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  <c r="AD1496" s="8"/>
      <c r="AE1496" s="8"/>
      <c r="AF1496" s="8"/>
      <c r="AG1496" s="8"/>
      <c r="AH1496" s="8"/>
      <c r="AI1496" s="8"/>
      <c r="AJ1496" s="8"/>
      <c r="AK1496" s="8"/>
      <c r="AL1496" s="8"/>
      <c r="AM1496" s="8"/>
      <c r="AN1496" s="8"/>
      <c r="AO1496" s="8"/>
      <c r="AP1496" s="8"/>
      <c r="AQ1496" s="8"/>
      <c r="AR1496" s="8"/>
      <c r="AS1496" s="8"/>
      <c r="AT1496" s="8"/>
      <c r="AU1496" s="8"/>
      <c r="AV1496" s="8"/>
      <c r="AW1496" s="8"/>
      <c r="AX1496" s="8"/>
      <c r="AY1496" s="8"/>
      <c r="AZ1496" s="10"/>
    </row>
    <row r="1497" spans="2:52" x14ac:dyDescent="0.35">
      <c r="B1497" s="7"/>
      <c r="C1497" s="8"/>
      <c r="D1497" s="8"/>
      <c r="E1497" s="8"/>
      <c r="F1497" s="8"/>
      <c r="G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  <c r="AD1497" s="8"/>
      <c r="AE1497" s="8"/>
      <c r="AF1497" s="8"/>
      <c r="AG1497" s="8"/>
      <c r="AH1497" s="8"/>
      <c r="AI1497" s="8"/>
      <c r="AJ1497" s="8"/>
      <c r="AK1497" s="8"/>
      <c r="AL1497" s="8"/>
      <c r="AM1497" s="8"/>
      <c r="AN1497" s="8"/>
      <c r="AO1497" s="8"/>
      <c r="AP1497" s="8"/>
      <c r="AQ1497" s="8"/>
      <c r="AR1497" s="8"/>
      <c r="AS1497" s="8"/>
      <c r="AT1497" s="8"/>
      <c r="AU1497" s="8"/>
      <c r="AV1497" s="8"/>
      <c r="AW1497" s="8"/>
      <c r="AX1497" s="8"/>
      <c r="AY1497" s="8"/>
      <c r="AZ1497" s="10"/>
    </row>
    <row r="1498" spans="2:52" x14ac:dyDescent="0.35">
      <c r="B1498" s="7"/>
      <c r="C1498" s="8"/>
      <c r="D1498" s="8"/>
      <c r="E1498" s="8"/>
      <c r="F1498" s="8"/>
      <c r="G1498" s="8"/>
      <c r="H1498" s="8"/>
      <c r="I1498" s="8"/>
      <c r="J1498" s="8"/>
      <c r="K1498" s="8"/>
      <c r="L1498" s="8"/>
      <c r="M1498" s="8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8"/>
      <c r="AE1498" s="8"/>
      <c r="AF1498" s="8"/>
      <c r="AG1498" s="8"/>
      <c r="AH1498" s="8"/>
      <c r="AI1498" s="8"/>
      <c r="AJ1498" s="8"/>
      <c r="AK1498" s="8"/>
      <c r="AL1498" s="8"/>
      <c r="AM1498" s="8"/>
      <c r="AN1498" s="8"/>
      <c r="AO1498" s="8"/>
      <c r="AP1498" s="8"/>
      <c r="AQ1498" s="8"/>
      <c r="AR1498" s="8"/>
      <c r="AS1498" s="8"/>
      <c r="AT1498" s="8"/>
      <c r="AU1498" s="8"/>
      <c r="AV1498" s="8"/>
      <c r="AW1498" s="8"/>
      <c r="AX1498" s="8"/>
      <c r="AY1498" s="8"/>
      <c r="AZ1498" s="10"/>
    </row>
    <row r="1499" spans="2:52" x14ac:dyDescent="0.35">
      <c r="B1499" s="7"/>
      <c r="C1499" s="8"/>
      <c r="D1499" s="8"/>
      <c r="E1499" s="8"/>
      <c r="F1499" s="8"/>
      <c r="G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  <c r="AD1499" s="8"/>
      <c r="AE1499" s="8"/>
      <c r="AF1499" s="8"/>
      <c r="AG1499" s="8"/>
      <c r="AH1499" s="8"/>
      <c r="AI1499" s="8"/>
      <c r="AJ1499" s="8"/>
      <c r="AK1499" s="8"/>
      <c r="AL1499" s="8"/>
      <c r="AM1499" s="8"/>
      <c r="AN1499" s="8"/>
      <c r="AO1499" s="8"/>
      <c r="AP1499" s="8"/>
      <c r="AQ1499" s="8"/>
      <c r="AR1499" s="8"/>
      <c r="AS1499" s="8"/>
      <c r="AT1499" s="8"/>
      <c r="AU1499" s="8"/>
      <c r="AV1499" s="8"/>
      <c r="AW1499" s="8"/>
      <c r="AX1499" s="8"/>
      <c r="AY1499" s="8"/>
      <c r="AZ1499" s="10"/>
    </row>
    <row r="1500" spans="2:52" x14ac:dyDescent="0.35">
      <c r="B1500" s="7"/>
      <c r="C1500" s="8"/>
      <c r="D1500" s="8"/>
      <c r="E1500" s="8"/>
      <c r="F1500" s="8"/>
      <c r="G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  <c r="AD1500" s="8"/>
      <c r="AE1500" s="8"/>
      <c r="AF1500" s="8"/>
      <c r="AG1500" s="8"/>
      <c r="AH1500" s="8"/>
      <c r="AI1500" s="8"/>
      <c r="AJ1500" s="8"/>
      <c r="AK1500" s="8"/>
      <c r="AL1500" s="8"/>
      <c r="AM1500" s="8"/>
      <c r="AN1500" s="8"/>
      <c r="AO1500" s="8"/>
      <c r="AP1500" s="8"/>
      <c r="AQ1500" s="8"/>
      <c r="AR1500" s="8"/>
      <c r="AS1500" s="8"/>
      <c r="AT1500" s="8"/>
      <c r="AU1500" s="8"/>
      <c r="AV1500" s="8"/>
      <c r="AW1500" s="8"/>
      <c r="AX1500" s="8"/>
      <c r="AY1500" s="8"/>
      <c r="AZ1500" s="10"/>
    </row>
    <row r="1501" spans="2:52" x14ac:dyDescent="0.35">
      <c r="B1501" s="7"/>
      <c r="C1501" s="8"/>
      <c r="D1501" s="8"/>
      <c r="E1501" s="8"/>
      <c r="F1501" s="8"/>
      <c r="G1501" s="8"/>
      <c r="H1501" s="8"/>
      <c r="I1501" s="8"/>
      <c r="J1501" s="8"/>
      <c r="K1501" s="8"/>
      <c r="L1501" s="8"/>
      <c r="M1501" s="8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  <c r="AG1501" s="8"/>
      <c r="AH1501" s="8"/>
      <c r="AI1501" s="8"/>
      <c r="AJ1501" s="8"/>
      <c r="AK1501" s="8"/>
      <c r="AL1501" s="8"/>
      <c r="AM1501" s="8"/>
      <c r="AN1501" s="8"/>
      <c r="AO1501" s="8"/>
      <c r="AP1501" s="8"/>
      <c r="AQ1501" s="8"/>
      <c r="AR1501" s="8"/>
      <c r="AS1501" s="8"/>
      <c r="AT1501" s="8"/>
      <c r="AU1501" s="8"/>
      <c r="AV1501" s="8"/>
      <c r="AW1501" s="8"/>
      <c r="AX1501" s="8"/>
      <c r="AY1501" s="8"/>
      <c r="AZ1501" s="10"/>
    </row>
    <row r="1502" spans="2:52" x14ac:dyDescent="0.35">
      <c r="B1502" s="7"/>
      <c r="C1502" s="8"/>
      <c r="D1502" s="8"/>
      <c r="E1502" s="8"/>
      <c r="F1502" s="8"/>
      <c r="G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  <c r="AG1502" s="8"/>
      <c r="AH1502" s="8"/>
      <c r="AI1502" s="8"/>
      <c r="AJ1502" s="8"/>
      <c r="AK1502" s="8"/>
      <c r="AL1502" s="8"/>
      <c r="AM1502" s="8"/>
      <c r="AN1502" s="8"/>
      <c r="AO1502" s="8"/>
      <c r="AP1502" s="8"/>
      <c r="AQ1502" s="8"/>
      <c r="AR1502" s="8"/>
      <c r="AS1502" s="8"/>
      <c r="AT1502" s="8"/>
      <c r="AU1502" s="8"/>
      <c r="AV1502" s="8"/>
      <c r="AW1502" s="8"/>
      <c r="AX1502" s="8"/>
      <c r="AY1502" s="8"/>
      <c r="AZ1502" s="10"/>
    </row>
    <row r="1503" spans="2:52" x14ac:dyDescent="0.35">
      <c r="B1503" s="7"/>
      <c r="C1503" s="8"/>
      <c r="D1503" s="8"/>
      <c r="E1503" s="8"/>
      <c r="F1503" s="8"/>
      <c r="G1503" s="8"/>
      <c r="H1503" s="8"/>
      <c r="I1503" s="8"/>
      <c r="J1503" s="8"/>
      <c r="K1503" s="8"/>
      <c r="L1503" s="8"/>
      <c r="M1503" s="8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  <c r="AG1503" s="8"/>
      <c r="AH1503" s="8"/>
      <c r="AI1503" s="8"/>
      <c r="AJ1503" s="8"/>
      <c r="AK1503" s="8"/>
      <c r="AL1503" s="8"/>
      <c r="AM1503" s="8"/>
      <c r="AN1503" s="8"/>
      <c r="AO1503" s="8"/>
      <c r="AP1503" s="8"/>
      <c r="AQ1503" s="8"/>
      <c r="AR1503" s="8"/>
      <c r="AS1503" s="8"/>
      <c r="AT1503" s="8"/>
      <c r="AU1503" s="8"/>
      <c r="AV1503" s="8"/>
      <c r="AW1503" s="8"/>
      <c r="AX1503" s="8"/>
      <c r="AY1503" s="8"/>
      <c r="AZ1503" s="10"/>
    </row>
    <row r="1504" spans="2:52" x14ac:dyDescent="0.35">
      <c r="B1504" s="7"/>
      <c r="C1504" s="8"/>
      <c r="D1504" s="8"/>
      <c r="E1504" s="8"/>
      <c r="F1504" s="8"/>
      <c r="G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  <c r="AG1504" s="8"/>
      <c r="AH1504" s="8"/>
      <c r="AI1504" s="8"/>
      <c r="AJ1504" s="8"/>
      <c r="AK1504" s="8"/>
      <c r="AL1504" s="8"/>
      <c r="AM1504" s="8"/>
      <c r="AN1504" s="8"/>
      <c r="AO1504" s="8"/>
      <c r="AP1504" s="8"/>
      <c r="AQ1504" s="8"/>
      <c r="AR1504" s="8"/>
      <c r="AS1504" s="8"/>
      <c r="AT1504" s="8"/>
      <c r="AU1504" s="8"/>
      <c r="AV1504" s="8"/>
      <c r="AW1504" s="8"/>
      <c r="AX1504" s="8"/>
      <c r="AY1504" s="8"/>
      <c r="AZ1504" s="10"/>
    </row>
    <row r="1505" spans="2:52" x14ac:dyDescent="0.35">
      <c r="B1505" s="7"/>
      <c r="C1505" s="8"/>
      <c r="D1505" s="8"/>
      <c r="E1505" s="8"/>
      <c r="F1505" s="8"/>
      <c r="G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  <c r="AG1505" s="8"/>
      <c r="AH1505" s="8"/>
      <c r="AI1505" s="8"/>
      <c r="AJ1505" s="8"/>
      <c r="AK1505" s="8"/>
      <c r="AL1505" s="8"/>
      <c r="AM1505" s="8"/>
      <c r="AN1505" s="8"/>
      <c r="AO1505" s="8"/>
      <c r="AP1505" s="8"/>
      <c r="AQ1505" s="8"/>
      <c r="AR1505" s="8"/>
      <c r="AS1505" s="8"/>
      <c r="AT1505" s="8"/>
      <c r="AU1505" s="8"/>
      <c r="AV1505" s="8"/>
      <c r="AW1505" s="8"/>
      <c r="AX1505" s="8"/>
      <c r="AY1505" s="8"/>
      <c r="AZ1505" s="10"/>
    </row>
    <row r="1506" spans="2:52" x14ac:dyDescent="0.35">
      <c r="B1506" s="7"/>
      <c r="C1506" s="8"/>
      <c r="D1506" s="8"/>
      <c r="E1506" s="8"/>
      <c r="F1506" s="8"/>
      <c r="G1506" s="8"/>
      <c r="H1506" s="8"/>
      <c r="I1506" s="8"/>
      <c r="J1506" s="8"/>
      <c r="K1506" s="8"/>
      <c r="L1506" s="8"/>
      <c r="M1506" s="8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  <c r="AD1506" s="8"/>
      <c r="AE1506" s="8"/>
      <c r="AF1506" s="8"/>
      <c r="AG1506" s="8"/>
      <c r="AH1506" s="8"/>
      <c r="AI1506" s="8"/>
      <c r="AJ1506" s="8"/>
      <c r="AK1506" s="8"/>
      <c r="AL1506" s="8"/>
      <c r="AM1506" s="8"/>
      <c r="AN1506" s="8"/>
      <c r="AO1506" s="8"/>
      <c r="AP1506" s="8"/>
      <c r="AQ1506" s="8"/>
      <c r="AR1506" s="8"/>
      <c r="AS1506" s="8"/>
      <c r="AT1506" s="8"/>
      <c r="AU1506" s="8"/>
      <c r="AV1506" s="8"/>
      <c r="AW1506" s="8"/>
      <c r="AX1506" s="8"/>
      <c r="AY1506" s="8"/>
      <c r="AZ1506" s="10"/>
    </row>
    <row r="1507" spans="2:52" x14ac:dyDescent="0.35">
      <c r="B1507" s="7"/>
      <c r="C1507" s="8"/>
      <c r="D1507" s="8"/>
      <c r="E1507" s="8"/>
      <c r="F1507" s="8"/>
      <c r="G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  <c r="AD1507" s="8"/>
      <c r="AE1507" s="8"/>
      <c r="AF1507" s="8"/>
      <c r="AG1507" s="8"/>
      <c r="AH1507" s="8"/>
      <c r="AI1507" s="8"/>
      <c r="AJ1507" s="8"/>
      <c r="AK1507" s="8"/>
      <c r="AL1507" s="8"/>
      <c r="AM1507" s="8"/>
      <c r="AN1507" s="8"/>
      <c r="AO1507" s="8"/>
      <c r="AP1507" s="8"/>
      <c r="AQ1507" s="8"/>
      <c r="AR1507" s="8"/>
      <c r="AS1507" s="8"/>
      <c r="AT1507" s="8"/>
      <c r="AU1507" s="8"/>
      <c r="AV1507" s="8"/>
      <c r="AW1507" s="8"/>
      <c r="AX1507" s="8"/>
      <c r="AY1507" s="8"/>
      <c r="AZ1507" s="10"/>
    </row>
    <row r="1508" spans="2:52" x14ac:dyDescent="0.35">
      <c r="B1508" s="7"/>
      <c r="C1508" s="8"/>
      <c r="D1508" s="8"/>
      <c r="E1508" s="8"/>
      <c r="F1508" s="8"/>
      <c r="G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  <c r="AD1508" s="8"/>
      <c r="AE1508" s="8"/>
      <c r="AF1508" s="8"/>
      <c r="AG1508" s="8"/>
      <c r="AH1508" s="8"/>
      <c r="AI1508" s="8"/>
      <c r="AJ1508" s="8"/>
      <c r="AK1508" s="8"/>
      <c r="AL1508" s="8"/>
      <c r="AM1508" s="8"/>
      <c r="AN1508" s="8"/>
      <c r="AO1508" s="8"/>
      <c r="AP1508" s="8"/>
      <c r="AQ1508" s="8"/>
      <c r="AR1508" s="8"/>
      <c r="AS1508" s="8"/>
      <c r="AT1508" s="8"/>
      <c r="AU1508" s="8"/>
      <c r="AV1508" s="8"/>
      <c r="AW1508" s="8"/>
      <c r="AX1508" s="8"/>
      <c r="AY1508" s="8"/>
      <c r="AZ1508" s="10"/>
    </row>
    <row r="1509" spans="2:52" x14ac:dyDescent="0.35">
      <c r="B1509" s="7"/>
      <c r="C1509" s="8"/>
      <c r="D1509" s="8"/>
      <c r="E1509" s="8"/>
      <c r="F1509" s="8"/>
      <c r="G1509" s="8"/>
      <c r="H1509" s="8"/>
      <c r="I1509" s="8"/>
      <c r="J1509" s="8"/>
      <c r="K1509" s="8"/>
      <c r="L1509" s="8"/>
      <c r="M1509" s="8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  <c r="AD1509" s="8"/>
      <c r="AE1509" s="8"/>
      <c r="AF1509" s="8"/>
      <c r="AG1509" s="8"/>
      <c r="AH1509" s="8"/>
      <c r="AI1509" s="8"/>
      <c r="AJ1509" s="8"/>
      <c r="AK1509" s="8"/>
      <c r="AL1509" s="8"/>
      <c r="AM1509" s="8"/>
      <c r="AN1509" s="8"/>
      <c r="AO1509" s="8"/>
      <c r="AP1509" s="8"/>
      <c r="AQ1509" s="8"/>
      <c r="AR1509" s="8"/>
      <c r="AS1509" s="8"/>
      <c r="AT1509" s="8"/>
      <c r="AU1509" s="8"/>
      <c r="AV1509" s="8"/>
      <c r="AW1509" s="8"/>
      <c r="AX1509" s="8"/>
      <c r="AY1509" s="8"/>
      <c r="AZ1509" s="10"/>
    </row>
    <row r="1510" spans="2:52" x14ac:dyDescent="0.35">
      <c r="B1510" s="7"/>
      <c r="C1510" s="8"/>
      <c r="D1510" s="8"/>
      <c r="E1510" s="8"/>
      <c r="F1510" s="8"/>
      <c r="G1510" s="8"/>
      <c r="H1510" s="8"/>
      <c r="I1510" s="8"/>
      <c r="J1510" s="8"/>
      <c r="K1510" s="8"/>
      <c r="L1510" s="8"/>
      <c r="M1510" s="8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  <c r="AD1510" s="8"/>
      <c r="AE1510" s="8"/>
      <c r="AF1510" s="8"/>
      <c r="AG1510" s="8"/>
      <c r="AH1510" s="8"/>
      <c r="AI1510" s="8"/>
      <c r="AJ1510" s="8"/>
      <c r="AK1510" s="8"/>
      <c r="AL1510" s="8"/>
      <c r="AM1510" s="8"/>
      <c r="AN1510" s="8"/>
      <c r="AO1510" s="8"/>
      <c r="AP1510" s="8"/>
      <c r="AQ1510" s="8"/>
      <c r="AR1510" s="8"/>
      <c r="AS1510" s="8"/>
      <c r="AT1510" s="8"/>
      <c r="AU1510" s="8"/>
      <c r="AV1510" s="8"/>
      <c r="AW1510" s="8"/>
      <c r="AX1510" s="8"/>
      <c r="AY1510" s="8"/>
      <c r="AZ1510" s="10"/>
    </row>
    <row r="1511" spans="2:52" x14ac:dyDescent="0.35">
      <c r="B1511" s="7"/>
      <c r="C1511" s="8"/>
      <c r="D1511" s="8"/>
      <c r="E1511" s="8"/>
      <c r="F1511" s="8"/>
      <c r="G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  <c r="AD1511" s="8"/>
      <c r="AE1511" s="8"/>
      <c r="AF1511" s="8"/>
      <c r="AG1511" s="8"/>
      <c r="AH1511" s="8"/>
      <c r="AI1511" s="8"/>
      <c r="AJ1511" s="8"/>
      <c r="AK1511" s="8"/>
      <c r="AL1511" s="8"/>
      <c r="AM1511" s="8"/>
      <c r="AN1511" s="8"/>
      <c r="AO1511" s="8"/>
      <c r="AP1511" s="8"/>
      <c r="AQ1511" s="8"/>
      <c r="AR1511" s="8"/>
      <c r="AS1511" s="8"/>
      <c r="AT1511" s="8"/>
      <c r="AU1511" s="8"/>
      <c r="AV1511" s="8"/>
      <c r="AW1511" s="8"/>
      <c r="AX1511" s="8"/>
      <c r="AY1511" s="8"/>
      <c r="AZ1511" s="10"/>
    </row>
    <row r="1512" spans="2:52" x14ac:dyDescent="0.35">
      <c r="B1512" s="7"/>
      <c r="C1512" s="8"/>
      <c r="D1512" s="8"/>
      <c r="E1512" s="8"/>
      <c r="F1512" s="8"/>
      <c r="G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  <c r="AD1512" s="8"/>
      <c r="AE1512" s="8"/>
      <c r="AF1512" s="8"/>
      <c r="AG1512" s="8"/>
      <c r="AH1512" s="8"/>
      <c r="AI1512" s="8"/>
      <c r="AJ1512" s="8"/>
      <c r="AK1512" s="8"/>
      <c r="AL1512" s="8"/>
      <c r="AM1512" s="8"/>
      <c r="AN1512" s="8"/>
      <c r="AO1512" s="8"/>
      <c r="AP1512" s="8"/>
      <c r="AQ1512" s="8"/>
      <c r="AR1512" s="8"/>
      <c r="AS1512" s="8"/>
      <c r="AT1512" s="8"/>
      <c r="AU1512" s="8"/>
      <c r="AV1512" s="8"/>
      <c r="AW1512" s="8"/>
      <c r="AX1512" s="8"/>
      <c r="AY1512" s="8"/>
      <c r="AZ1512" s="10"/>
    </row>
    <row r="1513" spans="2:52" x14ac:dyDescent="0.35">
      <c r="B1513" s="7"/>
      <c r="C1513" s="8"/>
      <c r="D1513" s="8"/>
      <c r="E1513" s="8"/>
      <c r="F1513" s="8"/>
      <c r="G1513" s="8"/>
      <c r="H1513" s="8"/>
      <c r="I1513" s="8"/>
      <c r="J1513" s="8"/>
      <c r="K1513" s="8"/>
      <c r="L1513" s="8"/>
      <c r="M1513" s="8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  <c r="AD1513" s="8"/>
      <c r="AE1513" s="8"/>
      <c r="AF1513" s="8"/>
      <c r="AG1513" s="8"/>
      <c r="AH1513" s="8"/>
      <c r="AI1513" s="8"/>
      <c r="AJ1513" s="8"/>
      <c r="AK1513" s="8"/>
      <c r="AL1513" s="8"/>
      <c r="AM1513" s="8"/>
      <c r="AN1513" s="8"/>
      <c r="AO1513" s="8"/>
      <c r="AP1513" s="8"/>
      <c r="AQ1513" s="8"/>
      <c r="AR1513" s="8"/>
      <c r="AS1513" s="8"/>
      <c r="AT1513" s="8"/>
      <c r="AU1513" s="8"/>
      <c r="AV1513" s="8"/>
      <c r="AW1513" s="8"/>
      <c r="AX1513" s="8"/>
      <c r="AY1513" s="8"/>
      <c r="AZ1513" s="10"/>
    </row>
    <row r="1514" spans="2:52" x14ac:dyDescent="0.35">
      <c r="B1514" s="7"/>
      <c r="C1514" s="8"/>
      <c r="D1514" s="8"/>
      <c r="E1514" s="8"/>
      <c r="F1514" s="8"/>
      <c r="G1514" s="8"/>
      <c r="H1514" s="8"/>
      <c r="I1514" s="8"/>
      <c r="J1514" s="8"/>
      <c r="K1514" s="8"/>
      <c r="L1514" s="8"/>
      <c r="M1514" s="8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8"/>
      <c r="AE1514" s="8"/>
      <c r="AF1514" s="8"/>
      <c r="AG1514" s="8"/>
      <c r="AH1514" s="8"/>
      <c r="AI1514" s="8"/>
      <c r="AJ1514" s="8"/>
      <c r="AK1514" s="8"/>
      <c r="AL1514" s="8"/>
      <c r="AM1514" s="8"/>
      <c r="AN1514" s="8"/>
      <c r="AO1514" s="8"/>
      <c r="AP1514" s="8"/>
      <c r="AQ1514" s="8"/>
      <c r="AR1514" s="8"/>
      <c r="AS1514" s="8"/>
      <c r="AT1514" s="8"/>
      <c r="AU1514" s="8"/>
      <c r="AV1514" s="8"/>
      <c r="AW1514" s="8"/>
      <c r="AX1514" s="8"/>
      <c r="AY1514" s="8"/>
      <c r="AZ1514" s="10"/>
    </row>
    <row r="1515" spans="2:52" x14ac:dyDescent="0.35">
      <c r="B1515" s="7"/>
      <c r="C1515" s="8"/>
      <c r="D1515" s="8"/>
      <c r="E1515" s="8"/>
      <c r="F1515" s="8"/>
      <c r="G1515" s="8"/>
      <c r="H1515" s="8"/>
      <c r="I1515" s="8"/>
      <c r="J1515" s="8"/>
      <c r="K1515" s="8"/>
      <c r="L1515" s="8"/>
      <c r="M1515" s="8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8"/>
      <c r="AE1515" s="8"/>
      <c r="AF1515" s="8"/>
      <c r="AG1515" s="8"/>
      <c r="AH1515" s="8"/>
      <c r="AI1515" s="8"/>
      <c r="AJ1515" s="8"/>
      <c r="AK1515" s="8"/>
      <c r="AL1515" s="8"/>
      <c r="AM1515" s="8"/>
      <c r="AN1515" s="8"/>
      <c r="AO1515" s="8"/>
      <c r="AP1515" s="8"/>
      <c r="AQ1515" s="8"/>
      <c r="AR1515" s="8"/>
      <c r="AS1515" s="8"/>
      <c r="AT1515" s="8"/>
      <c r="AU1515" s="8"/>
      <c r="AV1515" s="8"/>
      <c r="AW1515" s="8"/>
      <c r="AX1515" s="8"/>
      <c r="AY1515" s="8"/>
      <c r="AZ1515" s="10"/>
    </row>
    <row r="1516" spans="2:52" x14ac:dyDescent="0.35">
      <c r="B1516" s="7"/>
      <c r="C1516" s="8"/>
      <c r="D1516" s="8"/>
      <c r="E1516" s="8"/>
      <c r="F1516" s="8"/>
      <c r="G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8"/>
      <c r="AE1516" s="8"/>
      <c r="AF1516" s="8"/>
      <c r="AG1516" s="8"/>
      <c r="AH1516" s="8"/>
      <c r="AI1516" s="8"/>
      <c r="AJ1516" s="8"/>
      <c r="AK1516" s="8"/>
      <c r="AL1516" s="8"/>
      <c r="AM1516" s="8"/>
      <c r="AN1516" s="8"/>
      <c r="AO1516" s="8"/>
      <c r="AP1516" s="8"/>
      <c r="AQ1516" s="8"/>
      <c r="AR1516" s="8"/>
      <c r="AS1516" s="8"/>
      <c r="AT1516" s="8"/>
      <c r="AU1516" s="8"/>
      <c r="AV1516" s="8"/>
      <c r="AW1516" s="8"/>
      <c r="AX1516" s="8"/>
      <c r="AY1516" s="8"/>
      <c r="AZ1516" s="10"/>
    </row>
    <row r="1517" spans="2:52" x14ac:dyDescent="0.35">
      <c r="B1517" s="7"/>
      <c r="C1517" s="8"/>
      <c r="D1517" s="8"/>
      <c r="E1517" s="8"/>
      <c r="F1517" s="8"/>
      <c r="G1517" s="8"/>
      <c r="H1517" s="8"/>
      <c r="I1517" s="8"/>
      <c r="J1517" s="8"/>
      <c r="K1517" s="8"/>
      <c r="L1517" s="8"/>
      <c r="M1517" s="8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  <c r="AD1517" s="8"/>
      <c r="AE1517" s="8"/>
      <c r="AF1517" s="8"/>
      <c r="AG1517" s="8"/>
      <c r="AH1517" s="8"/>
      <c r="AI1517" s="8"/>
      <c r="AJ1517" s="8"/>
      <c r="AK1517" s="8"/>
      <c r="AL1517" s="8"/>
      <c r="AM1517" s="8"/>
      <c r="AN1517" s="8"/>
      <c r="AO1517" s="8"/>
      <c r="AP1517" s="8"/>
      <c r="AQ1517" s="8"/>
      <c r="AR1517" s="8"/>
      <c r="AS1517" s="8"/>
      <c r="AT1517" s="8"/>
      <c r="AU1517" s="8"/>
      <c r="AV1517" s="8"/>
      <c r="AW1517" s="8"/>
      <c r="AX1517" s="8"/>
      <c r="AY1517" s="8"/>
      <c r="AZ1517" s="10"/>
    </row>
    <row r="1518" spans="2:52" x14ac:dyDescent="0.35">
      <c r="B1518" s="7"/>
      <c r="C1518" s="8"/>
      <c r="D1518" s="8"/>
      <c r="E1518" s="8"/>
      <c r="F1518" s="8"/>
      <c r="G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  <c r="AD1518" s="8"/>
      <c r="AE1518" s="8"/>
      <c r="AF1518" s="8"/>
      <c r="AG1518" s="8"/>
      <c r="AH1518" s="8"/>
      <c r="AI1518" s="8"/>
      <c r="AJ1518" s="8"/>
      <c r="AK1518" s="8"/>
      <c r="AL1518" s="8"/>
      <c r="AM1518" s="8"/>
      <c r="AN1518" s="8"/>
      <c r="AO1518" s="8"/>
      <c r="AP1518" s="8"/>
      <c r="AQ1518" s="8"/>
      <c r="AR1518" s="8"/>
      <c r="AS1518" s="8"/>
      <c r="AT1518" s="8"/>
      <c r="AU1518" s="8"/>
      <c r="AV1518" s="8"/>
      <c r="AW1518" s="8"/>
      <c r="AX1518" s="8"/>
      <c r="AY1518" s="8"/>
      <c r="AZ1518" s="10"/>
    </row>
    <row r="1519" spans="2:52" x14ac:dyDescent="0.35">
      <c r="B1519" s="7"/>
      <c r="C1519" s="8"/>
      <c r="D1519" s="8"/>
      <c r="E1519" s="8"/>
      <c r="F1519" s="8"/>
      <c r="G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  <c r="AD1519" s="8"/>
      <c r="AE1519" s="8"/>
      <c r="AF1519" s="8"/>
      <c r="AG1519" s="8"/>
      <c r="AH1519" s="8"/>
      <c r="AI1519" s="8"/>
      <c r="AJ1519" s="8"/>
      <c r="AK1519" s="8"/>
      <c r="AL1519" s="8"/>
      <c r="AM1519" s="8"/>
      <c r="AN1519" s="8"/>
      <c r="AO1519" s="8"/>
      <c r="AP1519" s="8"/>
      <c r="AQ1519" s="8"/>
      <c r="AR1519" s="8"/>
      <c r="AS1519" s="8"/>
      <c r="AT1519" s="8"/>
      <c r="AU1519" s="8"/>
      <c r="AV1519" s="8"/>
      <c r="AW1519" s="8"/>
      <c r="AX1519" s="8"/>
      <c r="AY1519" s="8"/>
      <c r="AZ1519" s="10"/>
    </row>
    <row r="1520" spans="2:52" x14ac:dyDescent="0.35">
      <c r="B1520" s="7"/>
      <c r="C1520" s="8"/>
      <c r="D1520" s="8"/>
      <c r="E1520" s="8"/>
      <c r="F1520" s="8"/>
      <c r="G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8"/>
      <c r="AE1520" s="8"/>
      <c r="AF1520" s="8"/>
      <c r="AG1520" s="8"/>
      <c r="AH1520" s="8"/>
      <c r="AI1520" s="8"/>
      <c r="AJ1520" s="8"/>
      <c r="AK1520" s="8"/>
      <c r="AL1520" s="8"/>
      <c r="AM1520" s="8"/>
      <c r="AN1520" s="8"/>
      <c r="AO1520" s="8"/>
      <c r="AP1520" s="8"/>
      <c r="AQ1520" s="8"/>
      <c r="AR1520" s="8"/>
      <c r="AS1520" s="8"/>
      <c r="AT1520" s="8"/>
      <c r="AU1520" s="8"/>
      <c r="AV1520" s="8"/>
      <c r="AW1520" s="8"/>
      <c r="AX1520" s="8"/>
      <c r="AY1520" s="8"/>
      <c r="AZ1520" s="10"/>
    </row>
    <row r="1521" spans="2:52" x14ac:dyDescent="0.35">
      <c r="B1521" s="7"/>
      <c r="C1521" s="8"/>
      <c r="D1521" s="8"/>
      <c r="E1521" s="8"/>
      <c r="F1521" s="8"/>
      <c r="G1521" s="8"/>
      <c r="H1521" s="8"/>
      <c r="I1521" s="8"/>
      <c r="J1521" s="8"/>
      <c r="K1521" s="8"/>
      <c r="L1521" s="8"/>
      <c r="M1521" s="8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8"/>
      <c r="AE1521" s="8"/>
      <c r="AF1521" s="8"/>
      <c r="AG1521" s="8"/>
      <c r="AH1521" s="8"/>
      <c r="AI1521" s="8"/>
      <c r="AJ1521" s="8"/>
      <c r="AK1521" s="8"/>
      <c r="AL1521" s="8"/>
      <c r="AM1521" s="8"/>
      <c r="AN1521" s="8"/>
      <c r="AO1521" s="8"/>
      <c r="AP1521" s="8"/>
      <c r="AQ1521" s="8"/>
      <c r="AR1521" s="8"/>
      <c r="AS1521" s="8"/>
      <c r="AT1521" s="8"/>
      <c r="AU1521" s="8"/>
      <c r="AV1521" s="8"/>
      <c r="AW1521" s="8"/>
      <c r="AX1521" s="8"/>
      <c r="AY1521" s="8"/>
      <c r="AZ1521" s="10"/>
    </row>
    <row r="1522" spans="2:52" x14ac:dyDescent="0.35">
      <c r="B1522" s="7"/>
      <c r="C1522" s="8"/>
      <c r="D1522" s="8"/>
      <c r="E1522" s="8"/>
      <c r="F1522" s="8"/>
      <c r="G1522" s="8"/>
      <c r="H1522" s="8"/>
      <c r="I1522" s="8"/>
      <c r="J1522" s="8"/>
      <c r="K1522" s="8"/>
      <c r="L1522" s="8"/>
      <c r="M1522" s="8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  <c r="AD1522" s="8"/>
      <c r="AE1522" s="8"/>
      <c r="AF1522" s="8"/>
      <c r="AG1522" s="8"/>
      <c r="AH1522" s="8"/>
      <c r="AI1522" s="8"/>
      <c r="AJ1522" s="8"/>
      <c r="AK1522" s="8"/>
      <c r="AL1522" s="8"/>
      <c r="AM1522" s="8"/>
      <c r="AN1522" s="8"/>
      <c r="AO1522" s="8"/>
      <c r="AP1522" s="8"/>
      <c r="AQ1522" s="8"/>
      <c r="AR1522" s="8"/>
      <c r="AS1522" s="8"/>
      <c r="AT1522" s="8"/>
      <c r="AU1522" s="8"/>
      <c r="AV1522" s="8"/>
      <c r="AW1522" s="8"/>
      <c r="AX1522" s="8"/>
      <c r="AY1522" s="8"/>
      <c r="AZ1522" s="10"/>
    </row>
    <row r="1523" spans="2:52" x14ac:dyDescent="0.35">
      <c r="B1523" s="7"/>
      <c r="C1523" s="8"/>
      <c r="D1523" s="8"/>
      <c r="E1523" s="8"/>
      <c r="F1523" s="8"/>
      <c r="G1523" s="8"/>
      <c r="H1523" s="8"/>
      <c r="I1523" s="8"/>
      <c r="J1523" s="8"/>
      <c r="K1523" s="8"/>
      <c r="L1523" s="8"/>
      <c r="M1523" s="8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  <c r="AD1523" s="8"/>
      <c r="AE1523" s="8"/>
      <c r="AF1523" s="8"/>
      <c r="AG1523" s="8"/>
      <c r="AH1523" s="8"/>
      <c r="AI1523" s="8"/>
      <c r="AJ1523" s="8"/>
      <c r="AK1523" s="8"/>
      <c r="AL1523" s="8"/>
      <c r="AM1523" s="8"/>
      <c r="AN1523" s="8"/>
      <c r="AO1523" s="8"/>
      <c r="AP1523" s="8"/>
      <c r="AQ1523" s="8"/>
      <c r="AR1523" s="8"/>
      <c r="AS1523" s="8"/>
      <c r="AT1523" s="8"/>
      <c r="AU1523" s="8"/>
      <c r="AV1523" s="8"/>
      <c r="AW1523" s="8"/>
      <c r="AX1523" s="8"/>
      <c r="AY1523" s="8"/>
      <c r="AZ1523" s="10"/>
    </row>
    <row r="1524" spans="2:52" x14ac:dyDescent="0.35">
      <c r="B1524" s="7"/>
      <c r="C1524" s="8"/>
      <c r="D1524" s="8"/>
      <c r="E1524" s="8"/>
      <c r="F1524" s="8"/>
      <c r="G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  <c r="AD1524" s="8"/>
      <c r="AE1524" s="8"/>
      <c r="AF1524" s="8"/>
      <c r="AG1524" s="8"/>
      <c r="AH1524" s="8"/>
      <c r="AI1524" s="8"/>
      <c r="AJ1524" s="8"/>
      <c r="AK1524" s="8"/>
      <c r="AL1524" s="8"/>
      <c r="AM1524" s="8"/>
      <c r="AN1524" s="8"/>
      <c r="AO1524" s="8"/>
      <c r="AP1524" s="8"/>
      <c r="AQ1524" s="8"/>
      <c r="AR1524" s="8"/>
      <c r="AS1524" s="8"/>
      <c r="AT1524" s="8"/>
      <c r="AU1524" s="8"/>
      <c r="AV1524" s="8"/>
      <c r="AW1524" s="8"/>
      <c r="AX1524" s="8"/>
      <c r="AY1524" s="8"/>
      <c r="AZ1524" s="10"/>
    </row>
    <row r="1525" spans="2:52" x14ac:dyDescent="0.35">
      <c r="B1525" s="7"/>
      <c r="C1525" s="8"/>
      <c r="D1525" s="8"/>
      <c r="E1525" s="8"/>
      <c r="F1525" s="8"/>
      <c r="G1525" s="8"/>
      <c r="H1525" s="8"/>
      <c r="I1525" s="8"/>
      <c r="J1525" s="8"/>
      <c r="K1525" s="8"/>
      <c r="L1525" s="8"/>
      <c r="M1525" s="8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  <c r="AD1525" s="8"/>
      <c r="AE1525" s="8"/>
      <c r="AF1525" s="8"/>
      <c r="AG1525" s="8"/>
      <c r="AH1525" s="8"/>
      <c r="AI1525" s="8"/>
      <c r="AJ1525" s="8"/>
      <c r="AK1525" s="8"/>
      <c r="AL1525" s="8"/>
      <c r="AM1525" s="8"/>
      <c r="AN1525" s="8"/>
      <c r="AO1525" s="8"/>
      <c r="AP1525" s="8"/>
      <c r="AQ1525" s="8"/>
      <c r="AR1525" s="8"/>
      <c r="AS1525" s="8"/>
      <c r="AT1525" s="8"/>
      <c r="AU1525" s="8"/>
      <c r="AV1525" s="8"/>
      <c r="AW1525" s="8"/>
      <c r="AX1525" s="8"/>
      <c r="AY1525" s="8"/>
      <c r="AZ1525" s="10"/>
    </row>
    <row r="1526" spans="2:52" x14ac:dyDescent="0.35">
      <c r="B1526" s="7"/>
      <c r="C1526" s="8"/>
      <c r="D1526" s="8"/>
      <c r="E1526" s="8"/>
      <c r="F1526" s="8"/>
      <c r="G1526" s="8"/>
      <c r="H1526" s="8"/>
      <c r="I1526" s="8"/>
      <c r="J1526" s="8"/>
      <c r="K1526" s="8"/>
      <c r="L1526" s="8"/>
      <c r="M1526" s="8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  <c r="AD1526" s="8"/>
      <c r="AE1526" s="8"/>
      <c r="AF1526" s="8"/>
      <c r="AG1526" s="8"/>
      <c r="AH1526" s="8"/>
      <c r="AI1526" s="8"/>
      <c r="AJ1526" s="8"/>
      <c r="AK1526" s="8"/>
      <c r="AL1526" s="8"/>
      <c r="AM1526" s="8"/>
      <c r="AN1526" s="8"/>
      <c r="AO1526" s="8"/>
      <c r="AP1526" s="8"/>
      <c r="AQ1526" s="8"/>
      <c r="AR1526" s="8"/>
      <c r="AS1526" s="8"/>
      <c r="AT1526" s="8"/>
      <c r="AU1526" s="8"/>
      <c r="AV1526" s="8"/>
      <c r="AW1526" s="8"/>
      <c r="AX1526" s="8"/>
      <c r="AY1526" s="8"/>
      <c r="AZ1526" s="10"/>
    </row>
    <row r="1527" spans="2:52" x14ac:dyDescent="0.35">
      <c r="B1527" s="7"/>
      <c r="C1527" s="8"/>
      <c r="D1527" s="8"/>
      <c r="E1527" s="8"/>
      <c r="F1527" s="8"/>
      <c r="G1527" s="8"/>
      <c r="H1527" s="8"/>
      <c r="I1527" s="8"/>
      <c r="J1527" s="8"/>
      <c r="K1527" s="8"/>
      <c r="L1527" s="8"/>
      <c r="M1527" s="8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  <c r="AD1527" s="8"/>
      <c r="AE1527" s="8"/>
      <c r="AF1527" s="8"/>
      <c r="AG1527" s="8"/>
      <c r="AH1527" s="8"/>
      <c r="AI1527" s="8"/>
      <c r="AJ1527" s="8"/>
      <c r="AK1527" s="8"/>
      <c r="AL1527" s="8"/>
      <c r="AM1527" s="8"/>
      <c r="AN1527" s="8"/>
      <c r="AO1527" s="8"/>
      <c r="AP1527" s="8"/>
      <c r="AQ1527" s="8"/>
      <c r="AR1527" s="8"/>
      <c r="AS1527" s="8"/>
      <c r="AT1527" s="8"/>
      <c r="AU1527" s="8"/>
      <c r="AV1527" s="8"/>
      <c r="AW1527" s="8"/>
      <c r="AX1527" s="8"/>
      <c r="AY1527" s="8"/>
      <c r="AZ1527" s="10"/>
    </row>
    <row r="1528" spans="2:52" x14ac:dyDescent="0.35">
      <c r="B1528" s="7"/>
      <c r="C1528" s="8"/>
      <c r="D1528" s="8"/>
      <c r="E1528" s="8"/>
      <c r="F1528" s="8"/>
      <c r="G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  <c r="AD1528" s="8"/>
      <c r="AE1528" s="8"/>
      <c r="AF1528" s="8"/>
      <c r="AG1528" s="8"/>
      <c r="AH1528" s="8"/>
      <c r="AI1528" s="8"/>
      <c r="AJ1528" s="8"/>
      <c r="AK1528" s="8"/>
      <c r="AL1528" s="8"/>
      <c r="AM1528" s="8"/>
      <c r="AN1528" s="8"/>
      <c r="AO1528" s="8"/>
      <c r="AP1528" s="8"/>
      <c r="AQ1528" s="8"/>
      <c r="AR1528" s="8"/>
      <c r="AS1528" s="8"/>
      <c r="AT1528" s="8"/>
      <c r="AU1528" s="8"/>
      <c r="AV1528" s="8"/>
      <c r="AW1528" s="8"/>
      <c r="AX1528" s="8"/>
      <c r="AY1528" s="8"/>
      <c r="AZ1528" s="10"/>
    </row>
    <row r="1529" spans="2:52" x14ac:dyDescent="0.35">
      <c r="B1529" s="7"/>
      <c r="C1529" s="8"/>
      <c r="D1529" s="8"/>
      <c r="E1529" s="8"/>
      <c r="F1529" s="8"/>
      <c r="G1529" s="8"/>
      <c r="H1529" s="8"/>
      <c r="I1529" s="8"/>
      <c r="J1529" s="8"/>
      <c r="K1529" s="8"/>
      <c r="L1529" s="8"/>
      <c r="M1529" s="8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  <c r="AD1529" s="8"/>
      <c r="AE1529" s="8"/>
      <c r="AF1529" s="8"/>
      <c r="AG1529" s="8"/>
      <c r="AH1529" s="8"/>
      <c r="AI1529" s="8"/>
      <c r="AJ1529" s="8"/>
      <c r="AK1529" s="8"/>
      <c r="AL1529" s="8"/>
      <c r="AM1529" s="8"/>
      <c r="AN1529" s="8"/>
      <c r="AO1529" s="8"/>
      <c r="AP1529" s="8"/>
      <c r="AQ1529" s="8"/>
      <c r="AR1529" s="8"/>
      <c r="AS1529" s="8"/>
      <c r="AT1529" s="8"/>
      <c r="AU1529" s="8"/>
      <c r="AV1529" s="8"/>
      <c r="AW1529" s="8"/>
      <c r="AX1529" s="8"/>
      <c r="AY1529" s="8"/>
      <c r="AZ1529" s="10"/>
    </row>
    <row r="1530" spans="2:52" x14ac:dyDescent="0.35">
      <c r="B1530" s="7"/>
      <c r="C1530" s="8"/>
      <c r="D1530" s="8"/>
      <c r="E1530" s="8"/>
      <c r="F1530" s="8"/>
      <c r="G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  <c r="AD1530" s="8"/>
      <c r="AE1530" s="8"/>
      <c r="AF1530" s="8"/>
      <c r="AG1530" s="8"/>
      <c r="AH1530" s="8"/>
      <c r="AI1530" s="8"/>
      <c r="AJ1530" s="8"/>
      <c r="AK1530" s="8"/>
      <c r="AL1530" s="8"/>
      <c r="AM1530" s="8"/>
      <c r="AN1530" s="8"/>
      <c r="AO1530" s="8"/>
      <c r="AP1530" s="8"/>
      <c r="AQ1530" s="8"/>
      <c r="AR1530" s="8"/>
      <c r="AS1530" s="8"/>
      <c r="AT1530" s="8"/>
      <c r="AU1530" s="8"/>
      <c r="AV1530" s="8"/>
      <c r="AW1530" s="8"/>
      <c r="AX1530" s="8"/>
      <c r="AY1530" s="8"/>
      <c r="AZ1530" s="10"/>
    </row>
    <row r="1531" spans="2:52" x14ac:dyDescent="0.35">
      <c r="B1531" s="7"/>
      <c r="C1531" s="8"/>
      <c r="D1531" s="8"/>
      <c r="E1531" s="8"/>
      <c r="F1531" s="8"/>
      <c r="G1531" s="8"/>
      <c r="H1531" s="8"/>
      <c r="I1531" s="8"/>
      <c r="J1531" s="8"/>
      <c r="K1531" s="8"/>
      <c r="L1531" s="8"/>
      <c r="M1531" s="8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  <c r="AD1531" s="8"/>
      <c r="AE1531" s="8"/>
      <c r="AF1531" s="8"/>
      <c r="AG1531" s="8"/>
      <c r="AH1531" s="8"/>
      <c r="AI1531" s="8"/>
      <c r="AJ1531" s="8"/>
      <c r="AK1531" s="8"/>
      <c r="AL1531" s="8"/>
      <c r="AM1531" s="8"/>
      <c r="AN1531" s="8"/>
      <c r="AO1531" s="8"/>
      <c r="AP1531" s="8"/>
      <c r="AQ1531" s="8"/>
      <c r="AR1531" s="8"/>
      <c r="AS1531" s="8"/>
      <c r="AT1531" s="8"/>
      <c r="AU1531" s="8"/>
      <c r="AV1531" s="8"/>
      <c r="AW1531" s="8"/>
      <c r="AX1531" s="8"/>
      <c r="AY1531" s="8"/>
      <c r="AZ1531" s="10"/>
    </row>
    <row r="1532" spans="2:52" x14ac:dyDescent="0.35">
      <c r="B1532" s="7"/>
      <c r="C1532" s="8"/>
      <c r="D1532" s="8"/>
      <c r="E1532" s="8"/>
      <c r="F1532" s="8"/>
      <c r="G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  <c r="AD1532" s="8"/>
      <c r="AE1532" s="8"/>
      <c r="AF1532" s="8"/>
      <c r="AG1532" s="8"/>
      <c r="AH1532" s="8"/>
      <c r="AI1532" s="8"/>
      <c r="AJ1532" s="8"/>
      <c r="AK1532" s="8"/>
      <c r="AL1532" s="8"/>
      <c r="AM1532" s="8"/>
      <c r="AN1532" s="8"/>
      <c r="AO1532" s="8"/>
      <c r="AP1532" s="8"/>
      <c r="AQ1532" s="8"/>
      <c r="AR1532" s="8"/>
      <c r="AS1532" s="8"/>
      <c r="AT1532" s="8"/>
      <c r="AU1532" s="8"/>
      <c r="AV1532" s="8"/>
      <c r="AW1532" s="8"/>
      <c r="AX1532" s="8"/>
      <c r="AY1532" s="8"/>
      <c r="AZ1532" s="10"/>
    </row>
    <row r="1533" spans="2:52" x14ac:dyDescent="0.35">
      <c r="B1533" s="7"/>
      <c r="C1533" s="8"/>
      <c r="D1533" s="8"/>
      <c r="E1533" s="8"/>
      <c r="F1533" s="8"/>
      <c r="G1533" s="8"/>
      <c r="H1533" s="8"/>
      <c r="I1533" s="8"/>
      <c r="J1533" s="8"/>
      <c r="K1533" s="8"/>
      <c r="L1533" s="8"/>
      <c r="M1533" s="8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  <c r="AD1533" s="8"/>
      <c r="AE1533" s="8"/>
      <c r="AF1533" s="8"/>
      <c r="AG1533" s="8"/>
      <c r="AH1533" s="8"/>
      <c r="AI1533" s="8"/>
      <c r="AJ1533" s="8"/>
      <c r="AK1533" s="8"/>
      <c r="AL1533" s="8"/>
      <c r="AM1533" s="8"/>
      <c r="AN1533" s="8"/>
      <c r="AO1533" s="8"/>
      <c r="AP1533" s="8"/>
      <c r="AQ1533" s="8"/>
      <c r="AR1533" s="8"/>
      <c r="AS1533" s="8"/>
      <c r="AT1533" s="8"/>
      <c r="AU1533" s="8"/>
      <c r="AV1533" s="8"/>
      <c r="AW1533" s="8"/>
      <c r="AX1533" s="8"/>
      <c r="AY1533" s="8"/>
      <c r="AZ1533" s="10"/>
    </row>
    <row r="1534" spans="2:52" x14ac:dyDescent="0.35">
      <c r="B1534" s="7"/>
      <c r="C1534" s="8"/>
      <c r="D1534" s="8"/>
      <c r="E1534" s="8"/>
      <c r="F1534" s="8"/>
      <c r="G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8"/>
      <c r="AE1534" s="8"/>
      <c r="AF1534" s="8"/>
      <c r="AG1534" s="8"/>
      <c r="AH1534" s="8"/>
      <c r="AI1534" s="8"/>
      <c r="AJ1534" s="8"/>
      <c r="AK1534" s="8"/>
      <c r="AL1534" s="8"/>
      <c r="AM1534" s="8"/>
      <c r="AN1534" s="8"/>
      <c r="AO1534" s="8"/>
      <c r="AP1534" s="8"/>
      <c r="AQ1534" s="8"/>
      <c r="AR1534" s="8"/>
      <c r="AS1534" s="8"/>
      <c r="AT1534" s="8"/>
      <c r="AU1534" s="8"/>
      <c r="AV1534" s="8"/>
      <c r="AW1534" s="8"/>
      <c r="AX1534" s="8"/>
      <c r="AY1534" s="8"/>
      <c r="AZ1534" s="10"/>
    </row>
    <row r="1535" spans="2:52" x14ac:dyDescent="0.35">
      <c r="B1535" s="7"/>
      <c r="C1535" s="8"/>
      <c r="D1535" s="8"/>
      <c r="E1535" s="8"/>
      <c r="F1535" s="8"/>
      <c r="G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  <c r="AD1535" s="8"/>
      <c r="AE1535" s="8"/>
      <c r="AF1535" s="8"/>
      <c r="AG1535" s="8"/>
      <c r="AH1535" s="8"/>
      <c r="AI1535" s="8"/>
      <c r="AJ1535" s="8"/>
      <c r="AK1535" s="8"/>
      <c r="AL1535" s="8"/>
      <c r="AM1535" s="8"/>
      <c r="AN1535" s="8"/>
      <c r="AO1535" s="8"/>
      <c r="AP1535" s="8"/>
      <c r="AQ1535" s="8"/>
      <c r="AR1535" s="8"/>
      <c r="AS1535" s="8"/>
      <c r="AT1535" s="8"/>
      <c r="AU1535" s="8"/>
      <c r="AV1535" s="8"/>
      <c r="AW1535" s="8"/>
      <c r="AX1535" s="8"/>
      <c r="AY1535" s="8"/>
      <c r="AZ1535" s="10"/>
    </row>
    <row r="1536" spans="2:52" x14ac:dyDescent="0.35">
      <c r="B1536" s="7"/>
      <c r="C1536" s="8"/>
      <c r="D1536" s="8"/>
      <c r="E1536" s="8"/>
      <c r="F1536" s="8"/>
      <c r="G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  <c r="AD1536" s="8"/>
      <c r="AE1536" s="8"/>
      <c r="AF1536" s="8"/>
      <c r="AG1536" s="8"/>
      <c r="AH1536" s="8"/>
      <c r="AI1536" s="8"/>
      <c r="AJ1536" s="8"/>
      <c r="AK1536" s="8"/>
      <c r="AL1536" s="8"/>
      <c r="AM1536" s="8"/>
      <c r="AN1536" s="8"/>
      <c r="AO1536" s="8"/>
      <c r="AP1536" s="8"/>
      <c r="AQ1536" s="8"/>
      <c r="AR1536" s="8"/>
      <c r="AS1536" s="8"/>
      <c r="AT1536" s="8"/>
      <c r="AU1536" s="8"/>
      <c r="AV1536" s="8"/>
      <c r="AW1536" s="8"/>
      <c r="AX1536" s="8"/>
      <c r="AY1536" s="8"/>
      <c r="AZ1536" s="10"/>
    </row>
    <row r="1537" spans="2:52" x14ac:dyDescent="0.35">
      <c r="B1537" s="7"/>
      <c r="C1537" s="8"/>
      <c r="D1537" s="8"/>
      <c r="E1537" s="8"/>
      <c r="F1537" s="8"/>
      <c r="G1537" s="8"/>
      <c r="H1537" s="8"/>
      <c r="I1537" s="8"/>
      <c r="J1537" s="8"/>
      <c r="K1537" s="8"/>
      <c r="L1537" s="8"/>
      <c r="M1537" s="8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  <c r="AG1537" s="8"/>
      <c r="AH1537" s="8"/>
      <c r="AI1537" s="8"/>
      <c r="AJ1537" s="8"/>
      <c r="AK1537" s="8"/>
      <c r="AL1537" s="8"/>
      <c r="AM1537" s="8"/>
      <c r="AN1537" s="8"/>
      <c r="AO1537" s="8"/>
      <c r="AP1537" s="8"/>
      <c r="AQ1537" s="8"/>
      <c r="AR1537" s="8"/>
      <c r="AS1537" s="8"/>
      <c r="AT1537" s="8"/>
      <c r="AU1537" s="8"/>
      <c r="AV1537" s="8"/>
      <c r="AW1537" s="8"/>
      <c r="AX1537" s="8"/>
      <c r="AY1537" s="8"/>
      <c r="AZ1537" s="10"/>
    </row>
    <row r="1538" spans="2:52" x14ac:dyDescent="0.35">
      <c r="B1538" s="7"/>
      <c r="C1538" s="8"/>
      <c r="D1538" s="8"/>
      <c r="E1538" s="8"/>
      <c r="F1538" s="8"/>
      <c r="G1538" s="8"/>
      <c r="H1538" s="8"/>
      <c r="I1538" s="8"/>
      <c r="J1538" s="8"/>
      <c r="K1538" s="8"/>
      <c r="L1538" s="8"/>
      <c r="M1538" s="8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  <c r="AG1538" s="8"/>
      <c r="AH1538" s="8"/>
      <c r="AI1538" s="8"/>
      <c r="AJ1538" s="8"/>
      <c r="AK1538" s="8"/>
      <c r="AL1538" s="8"/>
      <c r="AM1538" s="8"/>
      <c r="AN1538" s="8"/>
      <c r="AO1538" s="8"/>
      <c r="AP1538" s="8"/>
      <c r="AQ1538" s="8"/>
      <c r="AR1538" s="8"/>
      <c r="AS1538" s="8"/>
      <c r="AT1538" s="8"/>
      <c r="AU1538" s="8"/>
      <c r="AV1538" s="8"/>
      <c r="AW1538" s="8"/>
      <c r="AX1538" s="8"/>
      <c r="AY1538" s="8"/>
      <c r="AZ1538" s="10"/>
    </row>
    <row r="1539" spans="2:52" x14ac:dyDescent="0.35">
      <c r="B1539" s="7"/>
      <c r="C1539" s="8"/>
      <c r="D1539" s="8"/>
      <c r="E1539" s="8"/>
      <c r="F1539" s="8"/>
      <c r="G1539" s="8"/>
      <c r="H1539" s="8"/>
      <c r="I1539" s="8"/>
      <c r="J1539" s="8"/>
      <c r="K1539" s="8"/>
      <c r="L1539" s="8"/>
      <c r="M1539" s="8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  <c r="AG1539" s="8"/>
      <c r="AH1539" s="8"/>
      <c r="AI1539" s="8"/>
      <c r="AJ1539" s="8"/>
      <c r="AK1539" s="8"/>
      <c r="AL1539" s="8"/>
      <c r="AM1539" s="8"/>
      <c r="AN1539" s="8"/>
      <c r="AO1539" s="8"/>
      <c r="AP1539" s="8"/>
      <c r="AQ1539" s="8"/>
      <c r="AR1539" s="8"/>
      <c r="AS1539" s="8"/>
      <c r="AT1539" s="8"/>
      <c r="AU1539" s="8"/>
      <c r="AV1539" s="8"/>
      <c r="AW1539" s="8"/>
      <c r="AX1539" s="8"/>
      <c r="AY1539" s="8"/>
      <c r="AZ1539" s="10"/>
    </row>
    <row r="1540" spans="2:52" x14ac:dyDescent="0.35">
      <c r="B1540" s="7"/>
      <c r="C1540" s="8"/>
      <c r="D1540" s="8"/>
      <c r="E1540" s="8"/>
      <c r="F1540" s="8"/>
      <c r="G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  <c r="AG1540" s="8"/>
      <c r="AH1540" s="8"/>
      <c r="AI1540" s="8"/>
      <c r="AJ1540" s="8"/>
      <c r="AK1540" s="8"/>
      <c r="AL1540" s="8"/>
      <c r="AM1540" s="8"/>
      <c r="AN1540" s="8"/>
      <c r="AO1540" s="8"/>
      <c r="AP1540" s="8"/>
      <c r="AQ1540" s="8"/>
      <c r="AR1540" s="8"/>
      <c r="AS1540" s="8"/>
      <c r="AT1540" s="8"/>
      <c r="AU1540" s="8"/>
      <c r="AV1540" s="8"/>
      <c r="AW1540" s="8"/>
      <c r="AX1540" s="8"/>
      <c r="AY1540" s="8"/>
      <c r="AZ1540" s="10"/>
    </row>
    <row r="1541" spans="2:52" x14ac:dyDescent="0.35">
      <c r="B1541" s="7"/>
      <c r="C1541" s="8"/>
      <c r="D1541" s="8"/>
      <c r="E1541" s="8"/>
      <c r="F1541" s="8"/>
      <c r="G1541" s="8"/>
      <c r="H1541" s="8"/>
      <c r="I1541" s="8"/>
      <c r="J1541" s="8"/>
      <c r="K1541" s="8"/>
      <c r="L1541" s="8"/>
      <c r="M1541" s="8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  <c r="AG1541" s="8"/>
      <c r="AH1541" s="8"/>
      <c r="AI1541" s="8"/>
      <c r="AJ1541" s="8"/>
      <c r="AK1541" s="8"/>
      <c r="AL1541" s="8"/>
      <c r="AM1541" s="8"/>
      <c r="AN1541" s="8"/>
      <c r="AO1541" s="8"/>
      <c r="AP1541" s="8"/>
      <c r="AQ1541" s="8"/>
      <c r="AR1541" s="8"/>
      <c r="AS1541" s="8"/>
      <c r="AT1541" s="8"/>
      <c r="AU1541" s="8"/>
      <c r="AV1541" s="8"/>
      <c r="AW1541" s="8"/>
      <c r="AX1541" s="8"/>
      <c r="AY1541" s="8"/>
      <c r="AZ1541" s="10"/>
    </row>
    <row r="1542" spans="2:52" x14ac:dyDescent="0.35">
      <c r="B1542" s="7"/>
      <c r="C1542" s="8"/>
      <c r="D1542" s="8"/>
      <c r="E1542" s="8"/>
      <c r="F1542" s="8"/>
      <c r="G1542" s="8"/>
      <c r="H1542" s="8"/>
      <c r="I1542" s="8"/>
      <c r="J1542" s="8"/>
      <c r="K1542" s="8"/>
      <c r="L1542" s="8"/>
      <c r="M1542" s="8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  <c r="AD1542" s="8"/>
      <c r="AE1542" s="8"/>
      <c r="AF1542" s="8"/>
      <c r="AG1542" s="8"/>
      <c r="AH1542" s="8"/>
      <c r="AI1542" s="8"/>
      <c r="AJ1542" s="8"/>
      <c r="AK1542" s="8"/>
      <c r="AL1542" s="8"/>
      <c r="AM1542" s="8"/>
      <c r="AN1542" s="8"/>
      <c r="AO1542" s="8"/>
      <c r="AP1542" s="8"/>
      <c r="AQ1542" s="8"/>
      <c r="AR1542" s="8"/>
      <c r="AS1542" s="8"/>
      <c r="AT1542" s="8"/>
      <c r="AU1542" s="8"/>
      <c r="AV1542" s="8"/>
      <c r="AW1542" s="8"/>
      <c r="AX1542" s="8"/>
      <c r="AY1542" s="8"/>
      <c r="AZ1542" s="10"/>
    </row>
    <row r="1543" spans="2:52" x14ac:dyDescent="0.35">
      <c r="B1543" s="7"/>
      <c r="C1543" s="8"/>
      <c r="D1543" s="8"/>
      <c r="E1543" s="8"/>
      <c r="F1543" s="8"/>
      <c r="G1543" s="8"/>
      <c r="H1543" s="8"/>
      <c r="I1543" s="8"/>
      <c r="J1543" s="8"/>
      <c r="K1543" s="8"/>
      <c r="L1543" s="8"/>
      <c r="M1543" s="8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  <c r="AD1543" s="8"/>
      <c r="AE1543" s="8"/>
      <c r="AF1543" s="8"/>
      <c r="AG1543" s="8"/>
      <c r="AH1543" s="8"/>
      <c r="AI1543" s="8"/>
      <c r="AJ1543" s="8"/>
      <c r="AK1543" s="8"/>
      <c r="AL1543" s="8"/>
      <c r="AM1543" s="8"/>
      <c r="AN1543" s="8"/>
      <c r="AO1543" s="8"/>
      <c r="AP1543" s="8"/>
      <c r="AQ1543" s="8"/>
      <c r="AR1543" s="8"/>
      <c r="AS1543" s="8"/>
      <c r="AT1543" s="8"/>
      <c r="AU1543" s="8"/>
      <c r="AV1543" s="8"/>
      <c r="AW1543" s="8"/>
      <c r="AX1543" s="8"/>
      <c r="AY1543" s="8"/>
      <c r="AZ1543" s="10"/>
    </row>
    <row r="1544" spans="2:52" x14ac:dyDescent="0.35">
      <c r="B1544" s="7"/>
      <c r="C1544" s="8"/>
      <c r="D1544" s="8"/>
      <c r="E1544" s="8"/>
      <c r="F1544" s="8"/>
      <c r="G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  <c r="AD1544" s="8"/>
      <c r="AE1544" s="8"/>
      <c r="AF1544" s="8"/>
      <c r="AG1544" s="8"/>
      <c r="AH1544" s="8"/>
      <c r="AI1544" s="8"/>
      <c r="AJ1544" s="8"/>
      <c r="AK1544" s="8"/>
      <c r="AL1544" s="8"/>
      <c r="AM1544" s="8"/>
      <c r="AN1544" s="8"/>
      <c r="AO1544" s="8"/>
      <c r="AP1544" s="8"/>
      <c r="AQ1544" s="8"/>
      <c r="AR1544" s="8"/>
      <c r="AS1544" s="8"/>
      <c r="AT1544" s="8"/>
      <c r="AU1544" s="8"/>
      <c r="AV1544" s="8"/>
      <c r="AW1544" s="8"/>
      <c r="AX1544" s="8"/>
      <c r="AY1544" s="8"/>
      <c r="AZ1544" s="10"/>
    </row>
    <row r="1545" spans="2:52" x14ac:dyDescent="0.35">
      <c r="B1545" s="7"/>
      <c r="C1545" s="8"/>
      <c r="D1545" s="8"/>
      <c r="E1545" s="8"/>
      <c r="F1545" s="8"/>
      <c r="G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  <c r="AD1545" s="8"/>
      <c r="AE1545" s="8"/>
      <c r="AF1545" s="8"/>
      <c r="AG1545" s="8"/>
      <c r="AH1545" s="8"/>
      <c r="AI1545" s="8"/>
      <c r="AJ1545" s="8"/>
      <c r="AK1545" s="8"/>
      <c r="AL1545" s="8"/>
      <c r="AM1545" s="8"/>
      <c r="AN1545" s="8"/>
      <c r="AO1545" s="8"/>
      <c r="AP1545" s="8"/>
      <c r="AQ1545" s="8"/>
      <c r="AR1545" s="8"/>
      <c r="AS1545" s="8"/>
      <c r="AT1545" s="8"/>
      <c r="AU1545" s="8"/>
      <c r="AV1545" s="8"/>
      <c r="AW1545" s="8"/>
      <c r="AX1545" s="8"/>
      <c r="AY1545" s="8"/>
      <c r="AZ1545" s="10"/>
    </row>
    <row r="1546" spans="2:52" x14ac:dyDescent="0.35">
      <c r="B1546" s="7"/>
      <c r="C1546" s="8"/>
      <c r="D1546" s="8"/>
      <c r="E1546" s="8"/>
      <c r="F1546" s="8"/>
      <c r="G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  <c r="AD1546" s="8"/>
      <c r="AE1546" s="8"/>
      <c r="AF1546" s="8"/>
      <c r="AG1546" s="8"/>
      <c r="AH1546" s="8"/>
      <c r="AI1546" s="8"/>
      <c r="AJ1546" s="8"/>
      <c r="AK1546" s="8"/>
      <c r="AL1546" s="8"/>
      <c r="AM1546" s="8"/>
      <c r="AN1546" s="8"/>
      <c r="AO1546" s="8"/>
      <c r="AP1546" s="8"/>
      <c r="AQ1546" s="8"/>
      <c r="AR1546" s="8"/>
      <c r="AS1546" s="8"/>
      <c r="AT1546" s="8"/>
      <c r="AU1546" s="8"/>
      <c r="AV1546" s="8"/>
      <c r="AW1546" s="8"/>
      <c r="AX1546" s="8"/>
      <c r="AY1546" s="8"/>
      <c r="AZ1546" s="10"/>
    </row>
    <row r="1547" spans="2:52" x14ac:dyDescent="0.35">
      <c r="B1547" s="7"/>
      <c r="C1547" s="8"/>
      <c r="D1547" s="8"/>
      <c r="E1547" s="8"/>
      <c r="F1547" s="8"/>
      <c r="G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  <c r="AD1547" s="8"/>
      <c r="AE1547" s="8"/>
      <c r="AF1547" s="8"/>
      <c r="AG1547" s="8"/>
      <c r="AH1547" s="8"/>
      <c r="AI1547" s="8"/>
      <c r="AJ1547" s="8"/>
      <c r="AK1547" s="8"/>
      <c r="AL1547" s="8"/>
      <c r="AM1547" s="8"/>
      <c r="AN1547" s="8"/>
      <c r="AO1547" s="8"/>
      <c r="AP1547" s="8"/>
      <c r="AQ1547" s="8"/>
      <c r="AR1547" s="8"/>
      <c r="AS1547" s="8"/>
      <c r="AT1547" s="8"/>
      <c r="AU1547" s="8"/>
      <c r="AV1547" s="8"/>
      <c r="AW1547" s="8"/>
      <c r="AX1547" s="8"/>
      <c r="AY1547" s="8"/>
      <c r="AZ1547" s="10"/>
    </row>
    <row r="1548" spans="2:52" x14ac:dyDescent="0.35">
      <c r="B1548" s="7"/>
      <c r="C1548" s="8"/>
      <c r="D1548" s="8"/>
      <c r="E1548" s="8"/>
      <c r="F1548" s="8"/>
      <c r="G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  <c r="AD1548" s="8"/>
      <c r="AE1548" s="8"/>
      <c r="AF1548" s="8"/>
      <c r="AG1548" s="8"/>
      <c r="AH1548" s="8"/>
      <c r="AI1548" s="8"/>
      <c r="AJ1548" s="8"/>
      <c r="AK1548" s="8"/>
      <c r="AL1548" s="8"/>
      <c r="AM1548" s="8"/>
      <c r="AN1548" s="8"/>
      <c r="AO1548" s="8"/>
      <c r="AP1548" s="8"/>
      <c r="AQ1548" s="8"/>
      <c r="AR1548" s="8"/>
      <c r="AS1548" s="8"/>
      <c r="AT1548" s="8"/>
      <c r="AU1548" s="8"/>
      <c r="AV1548" s="8"/>
      <c r="AW1548" s="8"/>
      <c r="AX1548" s="8"/>
      <c r="AY1548" s="8"/>
      <c r="AZ1548" s="10"/>
    </row>
    <row r="1549" spans="2:52" x14ac:dyDescent="0.35">
      <c r="B1549" s="7"/>
      <c r="C1549" s="8"/>
      <c r="D1549" s="8"/>
      <c r="E1549" s="8"/>
      <c r="F1549" s="8"/>
      <c r="G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  <c r="AD1549" s="8"/>
      <c r="AE1549" s="8"/>
      <c r="AF1549" s="8"/>
      <c r="AG1549" s="8"/>
      <c r="AH1549" s="8"/>
      <c r="AI1549" s="8"/>
      <c r="AJ1549" s="8"/>
      <c r="AK1549" s="8"/>
      <c r="AL1549" s="8"/>
      <c r="AM1549" s="8"/>
      <c r="AN1549" s="8"/>
      <c r="AO1549" s="8"/>
      <c r="AP1549" s="8"/>
      <c r="AQ1549" s="8"/>
      <c r="AR1549" s="8"/>
      <c r="AS1549" s="8"/>
      <c r="AT1549" s="8"/>
      <c r="AU1549" s="8"/>
      <c r="AV1549" s="8"/>
      <c r="AW1549" s="8"/>
      <c r="AX1549" s="8"/>
      <c r="AY1549" s="8"/>
      <c r="AZ1549" s="10"/>
    </row>
    <row r="1550" spans="2:52" x14ac:dyDescent="0.35">
      <c r="B1550" s="7"/>
      <c r="C1550" s="8"/>
      <c r="D1550" s="8"/>
      <c r="E1550" s="8"/>
      <c r="F1550" s="8"/>
      <c r="G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8"/>
      <c r="AE1550" s="8"/>
      <c r="AF1550" s="8"/>
      <c r="AG1550" s="8"/>
      <c r="AH1550" s="8"/>
      <c r="AI1550" s="8"/>
      <c r="AJ1550" s="8"/>
      <c r="AK1550" s="8"/>
      <c r="AL1550" s="8"/>
      <c r="AM1550" s="8"/>
      <c r="AN1550" s="8"/>
      <c r="AO1550" s="8"/>
      <c r="AP1550" s="8"/>
      <c r="AQ1550" s="8"/>
      <c r="AR1550" s="8"/>
      <c r="AS1550" s="8"/>
      <c r="AT1550" s="8"/>
      <c r="AU1550" s="8"/>
      <c r="AV1550" s="8"/>
      <c r="AW1550" s="8"/>
      <c r="AX1550" s="8"/>
      <c r="AY1550" s="8"/>
      <c r="AZ1550" s="10"/>
    </row>
    <row r="1551" spans="2:52" x14ac:dyDescent="0.35">
      <c r="B1551" s="7"/>
      <c r="C1551" s="8"/>
      <c r="D1551" s="8"/>
      <c r="E1551" s="8"/>
      <c r="F1551" s="8"/>
      <c r="G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8"/>
      <c r="AE1551" s="8"/>
      <c r="AF1551" s="8"/>
      <c r="AG1551" s="8"/>
      <c r="AH1551" s="8"/>
      <c r="AI1551" s="8"/>
      <c r="AJ1551" s="8"/>
      <c r="AK1551" s="8"/>
      <c r="AL1551" s="8"/>
      <c r="AM1551" s="8"/>
      <c r="AN1551" s="8"/>
      <c r="AO1551" s="8"/>
      <c r="AP1551" s="8"/>
      <c r="AQ1551" s="8"/>
      <c r="AR1551" s="8"/>
      <c r="AS1551" s="8"/>
      <c r="AT1551" s="8"/>
      <c r="AU1551" s="8"/>
      <c r="AV1551" s="8"/>
      <c r="AW1551" s="8"/>
      <c r="AX1551" s="8"/>
      <c r="AY1551" s="8"/>
      <c r="AZ1551" s="10"/>
    </row>
    <row r="1552" spans="2:52" x14ac:dyDescent="0.35">
      <c r="B1552" s="7"/>
      <c r="C1552" s="8"/>
      <c r="D1552" s="8"/>
      <c r="E1552" s="8"/>
      <c r="F1552" s="8"/>
      <c r="G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8"/>
      <c r="AE1552" s="8"/>
      <c r="AF1552" s="8"/>
      <c r="AG1552" s="8"/>
      <c r="AH1552" s="8"/>
      <c r="AI1552" s="8"/>
      <c r="AJ1552" s="8"/>
      <c r="AK1552" s="8"/>
      <c r="AL1552" s="8"/>
      <c r="AM1552" s="8"/>
      <c r="AN1552" s="8"/>
      <c r="AO1552" s="8"/>
      <c r="AP1552" s="8"/>
      <c r="AQ1552" s="8"/>
      <c r="AR1552" s="8"/>
      <c r="AS1552" s="8"/>
      <c r="AT1552" s="8"/>
      <c r="AU1552" s="8"/>
      <c r="AV1552" s="8"/>
      <c r="AW1552" s="8"/>
      <c r="AX1552" s="8"/>
      <c r="AY1552" s="8"/>
      <c r="AZ1552" s="10"/>
    </row>
    <row r="1553" spans="2:52" x14ac:dyDescent="0.35">
      <c r="B1553" s="7"/>
      <c r="C1553" s="8"/>
      <c r="D1553" s="8"/>
      <c r="E1553" s="8"/>
      <c r="F1553" s="8"/>
      <c r="G1553" s="8"/>
      <c r="H1553" s="8"/>
      <c r="I1553" s="8"/>
      <c r="J1553" s="8"/>
      <c r="K1553" s="8"/>
      <c r="L1553" s="8"/>
      <c r="M1553" s="8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  <c r="AD1553" s="8"/>
      <c r="AE1553" s="8"/>
      <c r="AF1553" s="8"/>
      <c r="AG1553" s="8"/>
      <c r="AH1553" s="8"/>
      <c r="AI1553" s="8"/>
      <c r="AJ1553" s="8"/>
      <c r="AK1553" s="8"/>
      <c r="AL1553" s="8"/>
      <c r="AM1553" s="8"/>
      <c r="AN1553" s="8"/>
      <c r="AO1553" s="8"/>
      <c r="AP1553" s="8"/>
      <c r="AQ1553" s="8"/>
      <c r="AR1553" s="8"/>
      <c r="AS1553" s="8"/>
      <c r="AT1553" s="8"/>
      <c r="AU1553" s="8"/>
      <c r="AV1553" s="8"/>
      <c r="AW1553" s="8"/>
      <c r="AX1553" s="8"/>
      <c r="AY1553" s="8"/>
      <c r="AZ1553" s="10"/>
    </row>
    <row r="1554" spans="2:52" x14ac:dyDescent="0.35">
      <c r="B1554" s="7"/>
      <c r="C1554" s="8"/>
      <c r="D1554" s="8"/>
      <c r="E1554" s="8"/>
      <c r="F1554" s="8"/>
      <c r="G1554" s="8"/>
      <c r="H1554" s="8"/>
      <c r="I1554" s="8"/>
      <c r="J1554" s="8"/>
      <c r="K1554" s="8"/>
      <c r="L1554" s="8"/>
      <c r="M1554" s="8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  <c r="AD1554" s="8"/>
      <c r="AE1554" s="8"/>
      <c r="AF1554" s="8"/>
      <c r="AG1554" s="8"/>
      <c r="AH1554" s="8"/>
      <c r="AI1554" s="8"/>
      <c r="AJ1554" s="8"/>
      <c r="AK1554" s="8"/>
      <c r="AL1554" s="8"/>
      <c r="AM1554" s="8"/>
      <c r="AN1554" s="8"/>
      <c r="AO1554" s="8"/>
      <c r="AP1554" s="8"/>
      <c r="AQ1554" s="8"/>
      <c r="AR1554" s="8"/>
      <c r="AS1554" s="8"/>
      <c r="AT1554" s="8"/>
      <c r="AU1554" s="8"/>
      <c r="AV1554" s="8"/>
      <c r="AW1554" s="8"/>
      <c r="AX1554" s="8"/>
      <c r="AY1554" s="8"/>
      <c r="AZ1554" s="10"/>
    </row>
    <row r="1555" spans="2:52" x14ac:dyDescent="0.35">
      <c r="B1555" s="7"/>
      <c r="C1555" s="8"/>
      <c r="D1555" s="8"/>
      <c r="E1555" s="8"/>
      <c r="F1555" s="8"/>
      <c r="G1555" s="8"/>
      <c r="H1555" s="8"/>
      <c r="I1555" s="8"/>
      <c r="J1555" s="8"/>
      <c r="K1555" s="8"/>
      <c r="L1555" s="8"/>
      <c r="M1555" s="8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  <c r="AD1555" s="8"/>
      <c r="AE1555" s="8"/>
      <c r="AF1555" s="8"/>
      <c r="AG1555" s="8"/>
      <c r="AH1555" s="8"/>
      <c r="AI1555" s="8"/>
      <c r="AJ1555" s="8"/>
      <c r="AK1555" s="8"/>
      <c r="AL1555" s="8"/>
      <c r="AM1555" s="8"/>
      <c r="AN1555" s="8"/>
      <c r="AO1555" s="8"/>
      <c r="AP1555" s="8"/>
      <c r="AQ1555" s="8"/>
      <c r="AR1555" s="8"/>
      <c r="AS1555" s="8"/>
      <c r="AT1555" s="8"/>
      <c r="AU1555" s="8"/>
      <c r="AV1555" s="8"/>
      <c r="AW1555" s="8"/>
      <c r="AX1555" s="8"/>
      <c r="AY1555" s="8"/>
      <c r="AZ1555" s="10"/>
    </row>
    <row r="1556" spans="2:52" x14ac:dyDescent="0.35">
      <c r="B1556" s="7"/>
      <c r="C1556" s="8"/>
      <c r="D1556" s="8"/>
      <c r="E1556" s="8"/>
      <c r="F1556" s="8"/>
      <c r="G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8"/>
      <c r="AE1556" s="8"/>
      <c r="AF1556" s="8"/>
      <c r="AG1556" s="8"/>
      <c r="AH1556" s="8"/>
      <c r="AI1556" s="8"/>
      <c r="AJ1556" s="8"/>
      <c r="AK1556" s="8"/>
      <c r="AL1556" s="8"/>
      <c r="AM1556" s="8"/>
      <c r="AN1556" s="8"/>
      <c r="AO1556" s="8"/>
      <c r="AP1556" s="8"/>
      <c r="AQ1556" s="8"/>
      <c r="AR1556" s="8"/>
      <c r="AS1556" s="8"/>
      <c r="AT1556" s="8"/>
      <c r="AU1556" s="8"/>
      <c r="AV1556" s="8"/>
      <c r="AW1556" s="8"/>
      <c r="AX1556" s="8"/>
      <c r="AY1556" s="8"/>
      <c r="AZ1556" s="10"/>
    </row>
    <row r="1557" spans="2:52" x14ac:dyDescent="0.35">
      <c r="B1557" s="7"/>
      <c r="C1557" s="8"/>
      <c r="D1557" s="8"/>
      <c r="E1557" s="8"/>
      <c r="F1557" s="8"/>
      <c r="G1557" s="8"/>
      <c r="H1557" s="8"/>
      <c r="I1557" s="8"/>
      <c r="J1557" s="8"/>
      <c r="K1557" s="8"/>
      <c r="L1557" s="8"/>
      <c r="M1557" s="8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8"/>
      <c r="AE1557" s="8"/>
      <c r="AF1557" s="8"/>
      <c r="AG1557" s="8"/>
      <c r="AH1557" s="8"/>
      <c r="AI1557" s="8"/>
      <c r="AJ1557" s="8"/>
      <c r="AK1557" s="8"/>
      <c r="AL1557" s="8"/>
      <c r="AM1557" s="8"/>
      <c r="AN1557" s="8"/>
      <c r="AO1557" s="8"/>
      <c r="AP1557" s="8"/>
      <c r="AQ1557" s="8"/>
      <c r="AR1557" s="8"/>
      <c r="AS1557" s="8"/>
      <c r="AT1557" s="8"/>
      <c r="AU1557" s="8"/>
      <c r="AV1557" s="8"/>
      <c r="AW1557" s="8"/>
      <c r="AX1557" s="8"/>
      <c r="AY1557" s="8"/>
      <c r="AZ1557" s="10"/>
    </row>
    <row r="1558" spans="2:52" x14ac:dyDescent="0.35">
      <c r="B1558" s="7"/>
      <c r="C1558" s="8"/>
      <c r="D1558" s="8"/>
      <c r="E1558" s="8"/>
      <c r="F1558" s="8"/>
      <c r="G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  <c r="AD1558" s="8"/>
      <c r="AE1558" s="8"/>
      <c r="AF1558" s="8"/>
      <c r="AG1558" s="8"/>
      <c r="AH1558" s="8"/>
      <c r="AI1558" s="8"/>
      <c r="AJ1558" s="8"/>
      <c r="AK1558" s="8"/>
      <c r="AL1558" s="8"/>
      <c r="AM1558" s="8"/>
      <c r="AN1558" s="8"/>
      <c r="AO1558" s="8"/>
      <c r="AP1558" s="8"/>
      <c r="AQ1558" s="8"/>
      <c r="AR1558" s="8"/>
      <c r="AS1558" s="8"/>
      <c r="AT1558" s="8"/>
      <c r="AU1558" s="8"/>
      <c r="AV1558" s="8"/>
      <c r="AW1558" s="8"/>
      <c r="AX1558" s="8"/>
      <c r="AY1558" s="8"/>
      <c r="AZ1558" s="10"/>
    </row>
    <row r="1559" spans="2:52" x14ac:dyDescent="0.35">
      <c r="B1559" s="7"/>
      <c r="C1559" s="8"/>
      <c r="D1559" s="8"/>
      <c r="E1559" s="8"/>
      <c r="F1559" s="8"/>
      <c r="G1559" s="8"/>
      <c r="H1559" s="8"/>
      <c r="I1559" s="8"/>
      <c r="J1559" s="8"/>
      <c r="K1559" s="8"/>
      <c r="L1559" s="8"/>
      <c r="M1559" s="8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  <c r="AD1559" s="8"/>
      <c r="AE1559" s="8"/>
      <c r="AF1559" s="8"/>
      <c r="AG1559" s="8"/>
      <c r="AH1559" s="8"/>
      <c r="AI1559" s="8"/>
      <c r="AJ1559" s="8"/>
      <c r="AK1559" s="8"/>
      <c r="AL1559" s="8"/>
      <c r="AM1559" s="8"/>
      <c r="AN1559" s="8"/>
      <c r="AO1559" s="8"/>
      <c r="AP1559" s="8"/>
      <c r="AQ1559" s="8"/>
      <c r="AR1559" s="8"/>
      <c r="AS1559" s="8"/>
      <c r="AT1559" s="8"/>
      <c r="AU1559" s="8"/>
      <c r="AV1559" s="8"/>
      <c r="AW1559" s="8"/>
      <c r="AX1559" s="8"/>
      <c r="AY1559" s="8"/>
      <c r="AZ1559" s="10"/>
    </row>
    <row r="1560" spans="2:52" x14ac:dyDescent="0.35">
      <c r="B1560" s="7"/>
      <c r="C1560" s="8"/>
      <c r="D1560" s="8"/>
      <c r="E1560" s="8"/>
      <c r="F1560" s="8"/>
      <c r="G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  <c r="AD1560" s="8"/>
      <c r="AE1560" s="8"/>
      <c r="AF1560" s="8"/>
      <c r="AG1560" s="8"/>
      <c r="AH1560" s="8"/>
      <c r="AI1560" s="8"/>
      <c r="AJ1560" s="8"/>
      <c r="AK1560" s="8"/>
      <c r="AL1560" s="8"/>
      <c r="AM1560" s="8"/>
      <c r="AN1560" s="8"/>
      <c r="AO1560" s="8"/>
      <c r="AP1560" s="8"/>
      <c r="AQ1560" s="8"/>
      <c r="AR1560" s="8"/>
      <c r="AS1560" s="8"/>
      <c r="AT1560" s="8"/>
      <c r="AU1560" s="8"/>
      <c r="AV1560" s="8"/>
      <c r="AW1560" s="8"/>
      <c r="AX1560" s="8"/>
      <c r="AY1560" s="8"/>
      <c r="AZ1560" s="10"/>
    </row>
    <row r="1561" spans="2:52" x14ac:dyDescent="0.35">
      <c r="B1561" s="7"/>
      <c r="C1561" s="8"/>
      <c r="D1561" s="8"/>
      <c r="E1561" s="8"/>
      <c r="F1561" s="8"/>
      <c r="G1561" s="8"/>
      <c r="H1561" s="8"/>
      <c r="I1561" s="8"/>
      <c r="J1561" s="8"/>
      <c r="K1561" s="8"/>
      <c r="L1561" s="8"/>
      <c r="M1561" s="8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  <c r="AD1561" s="8"/>
      <c r="AE1561" s="8"/>
      <c r="AF1561" s="8"/>
      <c r="AG1561" s="8"/>
      <c r="AH1561" s="8"/>
      <c r="AI1561" s="8"/>
      <c r="AJ1561" s="8"/>
      <c r="AK1561" s="8"/>
      <c r="AL1561" s="8"/>
      <c r="AM1561" s="8"/>
      <c r="AN1561" s="8"/>
      <c r="AO1561" s="8"/>
      <c r="AP1561" s="8"/>
      <c r="AQ1561" s="8"/>
      <c r="AR1561" s="8"/>
      <c r="AS1561" s="8"/>
      <c r="AT1561" s="8"/>
      <c r="AU1561" s="8"/>
      <c r="AV1561" s="8"/>
      <c r="AW1561" s="8"/>
      <c r="AX1561" s="8"/>
      <c r="AY1561" s="8"/>
      <c r="AZ1561" s="10"/>
    </row>
    <row r="1562" spans="2:52" x14ac:dyDescent="0.35">
      <c r="B1562" s="7"/>
      <c r="C1562" s="8"/>
      <c r="D1562" s="8"/>
      <c r="E1562" s="8"/>
      <c r="F1562" s="8"/>
      <c r="G1562" s="8"/>
      <c r="H1562" s="8"/>
      <c r="I1562" s="8"/>
      <c r="J1562" s="8"/>
      <c r="K1562" s="8"/>
      <c r="L1562" s="8"/>
      <c r="M1562" s="8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  <c r="AD1562" s="8"/>
      <c r="AE1562" s="8"/>
      <c r="AF1562" s="8"/>
      <c r="AG1562" s="8"/>
      <c r="AH1562" s="8"/>
      <c r="AI1562" s="8"/>
      <c r="AJ1562" s="8"/>
      <c r="AK1562" s="8"/>
      <c r="AL1562" s="8"/>
      <c r="AM1562" s="8"/>
      <c r="AN1562" s="8"/>
      <c r="AO1562" s="8"/>
      <c r="AP1562" s="8"/>
      <c r="AQ1562" s="8"/>
      <c r="AR1562" s="8"/>
      <c r="AS1562" s="8"/>
      <c r="AT1562" s="8"/>
      <c r="AU1562" s="8"/>
      <c r="AV1562" s="8"/>
      <c r="AW1562" s="8"/>
      <c r="AX1562" s="8"/>
      <c r="AY1562" s="8"/>
      <c r="AZ1562" s="10"/>
    </row>
    <row r="1563" spans="2:52" x14ac:dyDescent="0.35">
      <c r="B1563" s="7"/>
      <c r="C1563" s="8"/>
      <c r="D1563" s="8"/>
      <c r="E1563" s="8"/>
      <c r="F1563" s="8"/>
      <c r="G1563" s="8"/>
      <c r="H1563" s="8"/>
      <c r="I1563" s="8"/>
      <c r="J1563" s="8"/>
      <c r="K1563" s="8"/>
      <c r="L1563" s="8"/>
      <c r="M1563" s="8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  <c r="AD1563" s="8"/>
      <c r="AE1563" s="8"/>
      <c r="AF1563" s="8"/>
      <c r="AG1563" s="8"/>
      <c r="AH1563" s="8"/>
      <c r="AI1563" s="8"/>
      <c r="AJ1563" s="8"/>
      <c r="AK1563" s="8"/>
      <c r="AL1563" s="8"/>
      <c r="AM1563" s="8"/>
      <c r="AN1563" s="8"/>
      <c r="AO1563" s="8"/>
      <c r="AP1563" s="8"/>
      <c r="AQ1563" s="8"/>
      <c r="AR1563" s="8"/>
      <c r="AS1563" s="8"/>
      <c r="AT1563" s="8"/>
      <c r="AU1563" s="8"/>
      <c r="AV1563" s="8"/>
      <c r="AW1563" s="8"/>
      <c r="AX1563" s="8"/>
      <c r="AY1563" s="8"/>
      <c r="AZ1563" s="10"/>
    </row>
    <row r="1564" spans="2:52" x14ac:dyDescent="0.35">
      <c r="B1564" s="7"/>
      <c r="C1564" s="8"/>
      <c r="D1564" s="8"/>
      <c r="E1564" s="8"/>
      <c r="F1564" s="8"/>
      <c r="G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  <c r="AD1564" s="8"/>
      <c r="AE1564" s="8"/>
      <c r="AF1564" s="8"/>
      <c r="AG1564" s="8"/>
      <c r="AH1564" s="8"/>
      <c r="AI1564" s="8"/>
      <c r="AJ1564" s="8"/>
      <c r="AK1564" s="8"/>
      <c r="AL1564" s="8"/>
      <c r="AM1564" s="8"/>
      <c r="AN1564" s="8"/>
      <c r="AO1564" s="8"/>
      <c r="AP1564" s="8"/>
      <c r="AQ1564" s="8"/>
      <c r="AR1564" s="8"/>
      <c r="AS1564" s="8"/>
      <c r="AT1564" s="8"/>
      <c r="AU1564" s="8"/>
      <c r="AV1564" s="8"/>
      <c r="AW1564" s="8"/>
      <c r="AX1564" s="8"/>
      <c r="AY1564" s="8"/>
      <c r="AZ1564" s="10"/>
    </row>
    <row r="1565" spans="2:52" x14ac:dyDescent="0.35">
      <c r="B1565" s="7"/>
      <c r="C1565" s="8"/>
      <c r="D1565" s="8"/>
      <c r="E1565" s="8"/>
      <c r="F1565" s="8"/>
      <c r="G1565" s="8"/>
      <c r="H1565" s="8"/>
      <c r="I1565" s="8"/>
      <c r="J1565" s="8"/>
      <c r="K1565" s="8"/>
      <c r="L1565" s="8"/>
      <c r="M1565" s="8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  <c r="AD1565" s="8"/>
      <c r="AE1565" s="8"/>
      <c r="AF1565" s="8"/>
      <c r="AG1565" s="8"/>
      <c r="AH1565" s="8"/>
      <c r="AI1565" s="8"/>
      <c r="AJ1565" s="8"/>
      <c r="AK1565" s="8"/>
      <c r="AL1565" s="8"/>
      <c r="AM1565" s="8"/>
      <c r="AN1565" s="8"/>
      <c r="AO1565" s="8"/>
      <c r="AP1565" s="8"/>
      <c r="AQ1565" s="8"/>
      <c r="AR1565" s="8"/>
      <c r="AS1565" s="8"/>
      <c r="AT1565" s="8"/>
      <c r="AU1565" s="8"/>
      <c r="AV1565" s="8"/>
      <c r="AW1565" s="8"/>
      <c r="AX1565" s="8"/>
      <c r="AY1565" s="8"/>
      <c r="AZ1565" s="10"/>
    </row>
    <row r="1566" spans="2:52" x14ac:dyDescent="0.35">
      <c r="B1566" s="7"/>
      <c r="C1566" s="8"/>
      <c r="D1566" s="8"/>
      <c r="E1566" s="8"/>
      <c r="F1566" s="8"/>
      <c r="G1566" s="8"/>
      <c r="H1566" s="8"/>
      <c r="I1566" s="8"/>
      <c r="J1566" s="8"/>
      <c r="K1566" s="8"/>
      <c r="L1566" s="8"/>
      <c r="M1566" s="8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  <c r="AD1566" s="8"/>
      <c r="AE1566" s="8"/>
      <c r="AF1566" s="8"/>
      <c r="AG1566" s="8"/>
      <c r="AH1566" s="8"/>
      <c r="AI1566" s="8"/>
      <c r="AJ1566" s="8"/>
      <c r="AK1566" s="8"/>
      <c r="AL1566" s="8"/>
      <c r="AM1566" s="8"/>
      <c r="AN1566" s="8"/>
      <c r="AO1566" s="8"/>
      <c r="AP1566" s="8"/>
      <c r="AQ1566" s="8"/>
      <c r="AR1566" s="8"/>
      <c r="AS1566" s="8"/>
      <c r="AT1566" s="8"/>
      <c r="AU1566" s="8"/>
      <c r="AV1566" s="8"/>
      <c r="AW1566" s="8"/>
      <c r="AX1566" s="8"/>
      <c r="AY1566" s="8"/>
      <c r="AZ1566" s="10"/>
    </row>
    <row r="1567" spans="2:52" x14ac:dyDescent="0.35">
      <c r="B1567" s="7"/>
      <c r="C1567" s="8"/>
      <c r="D1567" s="8"/>
      <c r="E1567" s="8"/>
      <c r="F1567" s="8"/>
      <c r="G1567" s="8"/>
      <c r="H1567" s="8"/>
      <c r="I1567" s="8"/>
      <c r="J1567" s="8"/>
      <c r="K1567" s="8"/>
      <c r="L1567" s="8"/>
      <c r="M1567" s="8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  <c r="AD1567" s="8"/>
      <c r="AE1567" s="8"/>
      <c r="AF1567" s="8"/>
      <c r="AG1567" s="8"/>
      <c r="AH1567" s="8"/>
      <c r="AI1567" s="8"/>
      <c r="AJ1567" s="8"/>
      <c r="AK1567" s="8"/>
      <c r="AL1567" s="8"/>
      <c r="AM1567" s="8"/>
      <c r="AN1567" s="8"/>
      <c r="AO1567" s="8"/>
      <c r="AP1567" s="8"/>
      <c r="AQ1567" s="8"/>
      <c r="AR1567" s="8"/>
      <c r="AS1567" s="8"/>
      <c r="AT1567" s="8"/>
      <c r="AU1567" s="8"/>
      <c r="AV1567" s="8"/>
      <c r="AW1567" s="8"/>
      <c r="AX1567" s="8"/>
      <c r="AY1567" s="8"/>
      <c r="AZ1567" s="10"/>
    </row>
    <row r="1568" spans="2:52" x14ac:dyDescent="0.35">
      <c r="B1568" s="7"/>
      <c r="C1568" s="8"/>
      <c r="D1568" s="8"/>
      <c r="E1568" s="8"/>
      <c r="F1568" s="8"/>
      <c r="G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  <c r="AD1568" s="8"/>
      <c r="AE1568" s="8"/>
      <c r="AF1568" s="8"/>
      <c r="AG1568" s="8"/>
      <c r="AH1568" s="8"/>
      <c r="AI1568" s="8"/>
      <c r="AJ1568" s="8"/>
      <c r="AK1568" s="8"/>
      <c r="AL1568" s="8"/>
      <c r="AM1568" s="8"/>
      <c r="AN1568" s="8"/>
      <c r="AO1568" s="8"/>
      <c r="AP1568" s="8"/>
      <c r="AQ1568" s="8"/>
      <c r="AR1568" s="8"/>
      <c r="AS1568" s="8"/>
      <c r="AT1568" s="8"/>
      <c r="AU1568" s="8"/>
      <c r="AV1568" s="8"/>
      <c r="AW1568" s="8"/>
      <c r="AX1568" s="8"/>
      <c r="AY1568" s="8"/>
      <c r="AZ1568" s="10"/>
    </row>
    <row r="1569" spans="2:52" x14ac:dyDescent="0.35">
      <c r="B1569" s="7"/>
      <c r="C1569" s="8"/>
      <c r="D1569" s="8"/>
      <c r="E1569" s="8"/>
      <c r="F1569" s="8"/>
      <c r="G1569" s="8"/>
      <c r="H1569" s="8"/>
      <c r="I1569" s="8"/>
      <c r="J1569" s="8"/>
      <c r="K1569" s="8"/>
      <c r="L1569" s="8"/>
      <c r="M1569" s="8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  <c r="AD1569" s="8"/>
      <c r="AE1569" s="8"/>
      <c r="AF1569" s="8"/>
      <c r="AG1569" s="8"/>
      <c r="AH1569" s="8"/>
      <c r="AI1569" s="8"/>
      <c r="AJ1569" s="8"/>
      <c r="AK1569" s="8"/>
      <c r="AL1569" s="8"/>
      <c r="AM1569" s="8"/>
      <c r="AN1569" s="8"/>
      <c r="AO1569" s="8"/>
      <c r="AP1569" s="8"/>
      <c r="AQ1569" s="8"/>
      <c r="AR1569" s="8"/>
      <c r="AS1569" s="8"/>
      <c r="AT1569" s="8"/>
      <c r="AU1569" s="8"/>
      <c r="AV1569" s="8"/>
      <c r="AW1569" s="8"/>
      <c r="AX1569" s="8"/>
      <c r="AY1569" s="8"/>
      <c r="AZ1569" s="10"/>
    </row>
    <row r="1570" spans="2:52" x14ac:dyDescent="0.35">
      <c r="B1570" s="7"/>
      <c r="C1570" s="8"/>
      <c r="D1570" s="8"/>
      <c r="E1570" s="8"/>
      <c r="F1570" s="8"/>
      <c r="G1570" s="8"/>
      <c r="H1570" s="8"/>
      <c r="I1570" s="8"/>
      <c r="J1570" s="8"/>
      <c r="K1570" s="8"/>
      <c r="L1570" s="8"/>
      <c r="M1570" s="8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8"/>
      <c r="AE1570" s="8"/>
      <c r="AF1570" s="8"/>
      <c r="AG1570" s="8"/>
      <c r="AH1570" s="8"/>
      <c r="AI1570" s="8"/>
      <c r="AJ1570" s="8"/>
      <c r="AK1570" s="8"/>
      <c r="AL1570" s="8"/>
      <c r="AM1570" s="8"/>
      <c r="AN1570" s="8"/>
      <c r="AO1570" s="8"/>
      <c r="AP1570" s="8"/>
      <c r="AQ1570" s="8"/>
      <c r="AR1570" s="8"/>
      <c r="AS1570" s="8"/>
      <c r="AT1570" s="8"/>
      <c r="AU1570" s="8"/>
      <c r="AV1570" s="8"/>
      <c r="AW1570" s="8"/>
      <c r="AX1570" s="8"/>
      <c r="AY1570" s="8"/>
      <c r="AZ1570" s="10"/>
    </row>
    <row r="1571" spans="2:52" x14ac:dyDescent="0.35">
      <c r="B1571" s="7"/>
      <c r="C1571" s="8"/>
      <c r="D1571" s="8"/>
      <c r="E1571" s="8"/>
      <c r="F1571" s="8"/>
      <c r="G1571" s="8"/>
      <c r="H1571" s="8"/>
      <c r="I1571" s="8"/>
      <c r="J1571" s="8"/>
      <c r="K1571" s="8"/>
      <c r="L1571" s="8"/>
      <c r="M1571" s="8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  <c r="AD1571" s="8"/>
      <c r="AE1571" s="8"/>
      <c r="AF1571" s="8"/>
      <c r="AG1571" s="8"/>
      <c r="AH1571" s="8"/>
      <c r="AI1571" s="8"/>
      <c r="AJ1571" s="8"/>
      <c r="AK1571" s="8"/>
      <c r="AL1571" s="8"/>
      <c r="AM1571" s="8"/>
      <c r="AN1571" s="8"/>
      <c r="AO1571" s="8"/>
      <c r="AP1571" s="8"/>
      <c r="AQ1571" s="8"/>
      <c r="AR1571" s="8"/>
      <c r="AS1571" s="8"/>
      <c r="AT1571" s="8"/>
      <c r="AU1571" s="8"/>
      <c r="AV1571" s="8"/>
      <c r="AW1571" s="8"/>
      <c r="AX1571" s="8"/>
      <c r="AY1571" s="8"/>
      <c r="AZ1571" s="10"/>
    </row>
    <row r="1572" spans="2:52" x14ac:dyDescent="0.35">
      <c r="B1572" s="7"/>
      <c r="C1572" s="8"/>
      <c r="D1572" s="8"/>
      <c r="E1572" s="8"/>
      <c r="F1572" s="8"/>
      <c r="G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  <c r="AD1572" s="8"/>
      <c r="AE1572" s="8"/>
      <c r="AF1572" s="8"/>
      <c r="AG1572" s="8"/>
      <c r="AH1572" s="8"/>
      <c r="AI1572" s="8"/>
      <c r="AJ1572" s="8"/>
      <c r="AK1572" s="8"/>
      <c r="AL1572" s="8"/>
      <c r="AM1572" s="8"/>
      <c r="AN1572" s="8"/>
      <c r="AO1572" s="8"/>
      <c r="AP1572" s="8"/>
      <c r="AQ1572" s="8"/>
      <c r="AR1572" s="8"/>
      <c r="AS1572" s="8"/>
      <c r="AT1572" s="8"/>
      <c r="AU1572" s="8"/>
      <c r="AV1572" s="8"/>
      <c r="AW1572" s="8"/>
      <c r="AX1572" s="8"/>
      <c r="AY1572" s="8"/>
      <c r="AZ1572" s="10"/>
    </row>
    <row r="1573" spans="2:52" x14ac:dyDescent="0.35">
      <c r="B1573" s="7"/>
      <c r="C1573" s="8"/>
      <c r="D1573" s="8"/>
      <c r="E1573" s="8"/>
      <c r="F1573" s="8"/>
      <c r="G1573" s="8"/>
      <c r="H1573" s="8"/>
      <c r="I1573" s="8"/>
      <c r="J1573" s="8"/>
      <c r="K1573" s="8"/>
      <c r="L1573" s="8"/>
      <c r="M1573" s="8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  <c r="AG1573" s="8"/>
      <c r="AH1573" s="8"/>
      <c r="AI1573" s="8"/>
      <c r="AJ1573" s="8"/>
      <c r="AK1573" s="8"/>
      <c r="AL1573" s="8"/>
      <c r="AM1573" s="8"/>
      <c r="AN1573" s="8"/>
      <c r="AO1573" s="8"/>
      <c r="AP1573" s="8"/>
      <c r="AQ1573" s="8"/>
      <c r="AR1573" s="8"/>
      <c r="AS1573" s="8"/>
      <c r="AT1573" s="8"/>
      <c r="AU1573" s="8"/>
      <c r="AV1573" s="8"/>
      <c r="AW1573" s="8"/>
      <c r="AX1573" s="8"/>
      <c r="AY1573" s="8"/>
      <c r="AZ1573" s="10"/>
    </row>
    <row r="1574" spans="2:52" x14ac:dyDescent="0.35">
      <c r="B1574" s="7"/>
      <c r="C1574" s="8"/>
      <c r="D1574" s="8"/>
      <c r="E1574" s="8"/>
      <c r="F1574" s="8"/>
      <c r="G1574" s="8"/>
      <c r="H1574" s="8"/>
      <c r="I1574" s="8"/>
      <c r="J1574" s="8"/>
      <c r="K1574" s="8"/>
      <c r="L1574" s="8"/>
      <c r="M1574" s="8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  <c r="AG1574" s="8"/>
      <c r="AH1574" s="8"/>
      <c r="AI1574" s="8"/>
      <c r="AJ1574" s="8"/>
      <c r="AK1574" s="8"/>
      <c r="AL1574" s="8"/>
      <c r="AM1574" s="8"/>
      <c r="AN1574" s="8"/>
      <c r="AO1574" s="8"/>
      <c r="AP1574" s="8"/>
      <c r="AQ1574" s="8"/>
      <c r="AR1574" s="8"/>
      <c r="AS1574" s="8"/>
      <c r="AT1574" s="8"/>
      <c r="AU1574" s="8"/>
      <c r="AV1574" s="8"/>
      <c r="AW1574" s="8"/>
      <c r="AX1574" s="8"/>
      <c r="AY1574" s="8"/>
      <c r="AZ1574" s="10"/>
    </row>
    <row r="1575" spans="2:52" x14ac:dyDescent="0.35">
      <c r="B1575" s="7"/>
      <c r="C1575" s="8"/>
      <c r="D1575" s="8"/>
      <c r="E1575" s="8"/>
      <c r="F1575" s="8"/>
      <c r="G1575" s="8"/>
      <c r="H1575" s="8"/>
      <c r="I1575" s="8"/>
      <c r="J1575" s="8"/>
      <c r="K1575" s="8"/>
      <c r="L1575" s="8"/>
      <c r="M1575" s="8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  <c r="AG1575" s="8"/>
      <c r="AH1575" s="8"/>
      <c r="AI1575" s="8"/>
      <c r="AJ1575" s="8"/>
      <c r="AK1575" s="8"/>
      <c r="AL1575" s="8"/>
      <c r="AM1575" s="8"/>
      <c r="AN1575" s="8"/>
      <c r="AO1575" s="8"/>
      <c r="AP1575" s="8"/>
      <c r="AQ1575" s="8"/>
      <c r="AR1575" s="8"/>
      <c r="AS1575" s="8"/>
      <c r="AT1575" s="8"/>
      <c r="AU1575" s="8"/>
      <c r="AV1575" s="8"/>
      <c r="AW1575" s="8"/>
      <c r="AX1575" s="8"/>
      <c r="AY1575" s="8"/>
      <c r="AZ1575" s="10"/>
    </row>
    <row r="1576" spans="2:52" x14ac:dyDescent="0.35">
      <c r="B1576" s="7"/>
      <c r="C1576" s="8"/>
      <c r="D1576" s="8"/>
      <c r="E1576" s="8"/>
      <c r="F1576" s="8"/>
      <c r="G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  <c r="AG1576" s="8"/>
      <c r="AH1576" s="8"/>
      <c r="AI1576" s="8"/>
      <c r="AJ1576" s="8"/>
      <c r="AK1576" s="8"/>
      <c r="AL1576" s="8"/>
      <c r="AM1576" s="8"/>
      <c r="AN1576" s="8"/>
      <c r="AO1576" s="8"/>
      <c r="AP1576" s="8"/>
      <c r="AQ1576" s="8"/>
      <c r="AR1576" s="8"/>
      <c r="AS1576" s="8"/>
      <c r="AT1576" s="8"/>
      <c r="AU1576" s="8"/>
      <c r="AV1576" s="8"/>
      <c r="AW1576" s="8"/>
      <c r="AX1576" s="8"/>
      <c r="AY1576" s="8"/>
      <c r="AZ1576" s="10"/>
    </row>
    <row r="1577" spans="2:52" x14ac:dyDescent="0.35">
      <c r="B1577" s="7"/>
      <c r="C1577" s="8"/>
      <c r="D1577" s="8"/>
      <c r="E1577" s="8"/>
      <c r="F1577" s="8"/>
      <c r="G1577" s="8"/>
      <c r="H1577" s="8"/>
      <c r="I1577" s="8"/>
      <c r="J1577" s="8"/>
      <c r="K1577" s="8"/>
      <c r="L1577" s="8"/>
      <c r="M1577" s="8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  <c r="AG1577" s="8"/>
      <c r="AH1577" s="8"/>
      <c r="AI1577" s="8"/>
      <c r="AJ1577" s="8"/>
      <c r="AK1577" s="8"/>
      <c r="AL1577" s="8"/>
      <c r="AM1577" s="8"/>
      <c r="AN1577" s="8"/>
      <c r="AO1577" s="8"/>
      <c r="AP1577" s="8"/>
      <c r="AQ1577" s="8"/>
      <c r="AR1577" s="8"/>
      <c r="AS1577" s="8"/>
      <c r="AT1577" s="8"/>
      <c r="AU1577" s="8"/>
      <c r="AV1577" s="8"/>
      <c r="AW1577" s="8"/>
      <c r="AX1577" s="8"/>
      <c r="AY1577" s="8"/>
      <c r="AZ1577" s="10"/>
    </row>
    <row r="1578" spans="2:52" x14ac:dyDescent="0.35">
      <c r="B1578" s="7"/>
      <c r="C1578" s="8"/>
      <c r="D1578" s="8"/>
      <c r="E1578" s="8"/>
      <c r="F1578" s="8"/>
      <c r="G1578" s="8"/>
      <c r="H1578" s="8"/>
      <c r="I1578" s="8"/>
      <c r="J1578" s="8"/>
      <c r="K1578" s="8"/>
      <c r="L1578" s="8"/>
      <c r="M1578" s="8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  <c r="AD1578" s="8"/>
      <c r="AE1578" s="8"/>
      <c r="AF1578" s="8"/>
      <c r="AG1578" s="8"/>
      <c r="AH1578" s="8"/>
      <c r="AI1578" s="8"/>
      <c r="AJ1578" s="8"/>
      <c r="AK1578" s="8"/>
      <c r="AL1578" s="8"/>
      <c r="AM1578" s="8"/>
      <c r="AN1578" s="8"/>
      <c r="AO1578" s="8"/>
      <c r="AP1578" s="8"/>
      <c r="AQ1578" s="8"/>
      <c r="AR1578" s="8"/>
      <c r="AS1578" s="8"/>
      <c r="AT1578" s="8"/>
      <c r="AU1578" s="8"/>
      <c r="AV1578" s="8"/>
      <c r="AW1578" s="8"/>
      <c r="AX1578" s="8"/>
      <c r="AY1578" s="8"/>
      <c r="AZ1578" s="10"/>
    </row>
    <row r="1579" spans="2:52" x14ac:dyDescent="0.35">
      <c r="B1579" s="7"/>
      <c r="C1579" s="8"/>
      <c r="D1579" s="8"/>
      <c r="E1579" s="8"/>
      <c r="F1579" s="8"/>
      <c r="G1579" s="8"/>
      <c r="H1579" s="8"/>
      <c r="I1579" s="8"/>
      <c r="J1579" s="8"/>
      <c r="K1579" s="8"/>
      <c r="L1579" s="8"/>
      <c r="M1579" s="8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  <c r="AD1579" s="8"/>
      <c r="AE1579" s="8"/>
      <c r="AF1579" s="8"/>
      <c r="AG1579" s="8"/>
      <c r="AH1579" s="8"/>
      <c r="AI1579" s="8"/>
      <c r="AJ1579" s="8"/>
      <c r="AK1579" s="8"/>
      <c r="AL1579" s="8"/>
      <c r="AM1579" s="8"/>
      <c r="AN1579" s="8"/>
      <c r="AO1579" s="8"/>
      <c r="AP1579" s="8"/>
      <c r="AQ1579" s="8"/>
      <c r="AR1579" s="8"/>
      <c r="AS1579" s="8"/>
      <c r="AT1579" s="8"/>
      <c r="AU1579" s="8"/>
      <c r="AV1579" s="8"/>
      <c r="AW1579" s="8"/>
      <c r="AX1579" s="8"/>
      <c r="AY1579" s="8"/>
      <c r="AZ1579" s="10"/>
    </row>
    <row r="1580" spans="2:52" x14ac:dyDescent="0.35">
      <c r="B1580" s="7"/>
      <c r="C1580" s="8"/>
      <c r="D1580" s="8"/>
      <c r="E1580" s="8"/>
      <c r="F1580" s="8"/>
      <c r="G1580" s="8"/>
      <c r="H1580" s="8"/>
      <c r="I1580" s="8"/>
      <c r="J1580" s="8"/>
      <c r="K1580" s="8"/>
      <c r="L1580" s="8"/>
      <c r="M1580" s="8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  <c r="AD1580" s="8"/>
      <c r="AE1580" s="8"/>
      <c r="AF1580" s="8"/>
      <c r="AG1580" s="8"/>
      <c r="AH1580" s="8"/>
      <c r="AI1580" s="8"/>
      <c r="AJ1580" s="8"/>
      <c r="AK1580" s="8"/>
      <c r="AL1580" s="8"/>
      <c r="AM1580" s="8"/>
      <c r="AN1580" s="8"/>
      <c r="AO1580" s="8"/>
      <c r="AP1580" s="8"/>
      <c r="AQ1580" s="8"/>
      <c r="AR1580" s="8"/>
      <c r="AS1580" s="8"/>
      <c r="AT1580" s="8"/>
      <c r="AU1580" s="8"/>
      <c r="AV1580" s="8"/>
      <c r="AW1580" s="8"/>
      <c r="AX1580" s="8"/>
      <c r="AY1580" s="8"/>
      <c r="AZ1580" s="10"/>
    </row>
    <row r="1581" spans="2:52" x14ac:dyDescent="0.35">
      <c r="B1581" s="7"/>
      <c r="C1581" s="8"/>
      <c r="D1581" s="8"/>
      <c r="E1581" s="8"/>
      <c r="F1581" s="8"/>
      <c r="G1581" s="8"/>
      <c r="H1581" s="8"/>
      <c r="I1581" s="8"/>
      <c r="J1581" s="8"/>
      <c r="K1581" s="8"/>
      <c r="L1581" s="8"/>
      <c r="M1581" s="8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  <c r="AD1581" s="8"/>
      <c r="AE1581" s="8"/>
      <c r="AF1581" s="8"/>
      <c r="AG1581" s="8"/>
      <c r="AH1581" s="8"/>
      <c r="AI1581" s="8"/>
      <c r="AJ1581" s="8"/>
      <c r="AK1581" s="8"/>
      <c r="AL1581" s="8"/>
      <c r="AM1581" s="8"/>
      <c r="AN1581" s="8"/>
      <c r="AO1581" s="8"/>
      <c r="AP1581" s="8"/>
      <c r="AQ1581" s="8"/>
      <c r="AR1581" s="8"/>
      <c r="AS1581" s="8"/>
      <c r="AT1581" s="8"/>
      <c r="AU1581" s="8"/>
      <c r="AV1581" s="8"/>
      <c r="AW1581" s="8"/>
      <c r="AX1581" s="8"/>
      <c r="AY1581" s="8"/>
      <c r="AZ1581" s="10"/>
    </row>
    <row r="1582" spans="2:52" x14ac:dyDescent="0.35">
      <c r="B1582" s="7"/>
      <c r="C1582" s="8"/>
      <c r="D1582" s="8"/>
      <c r="E1582" s="8"/>
      <c r="F1582" s="8"/>
      <c r="G1582" s="8"/>
      <c r="H1582" s="8"/>
      <c r="I1582" s="8"/>
      <c r="J1582" s="8"/>
      <c r="K1582" s="8"/>
      <c r="L1582" s="8"/>
      <c r="M1582" s="8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  <c r="AD1582" s="8"/>
      <c r="AE1582" s="8"/>
      <c r="AF1582" s="8"/>
      <c r="AG1582" s="8"/>
      <c r="AH1582" s="8"/>
      <c r="AI1582" s="8"/>
      <c r="AJ1582" s="8"/>
      <c r="AK1582" s="8"/>
      <c r="AL1582" s="8"/>
      <c r="AM1582" s="8"/>
      <c r="AN1582" s="8"/>
      <c r="AO1582" s="8"/>
      <c r="AP1582" s="8"/>
      <c r="AQ1582" s="8"/>
      <c r="AR1582" s="8"/>
      <c r="AS1582" s="8"/>
      <c r="AT1582" s="8"/>
      <c r="AU1582" s="8"/>
      <c r="AV1582" s="8"/>
      <c r="AW1582" s="8"/>
      <c r="AX1582" s="8"/>
      <c r="AY1582" s="8"/>
      <c r="AZ1582" s="10"/>
    </row>
    <row r="1583" spans="2:52" x14ac:dyDescent="0.35">
      <c r="B1583" s="7"/>
      <c r="C1583" s="8"/>
      <c r="D1583" s="8"/>
      <c r="E1583" s="8"/>
      <c r="F1583" s="8"/>
      <c r="G1583" s="8"/>
      <c r="H1583" s="8"/>
      <c r="I1583" s="8"/>
      <c r="J1583" s="8"/>
      <c r="K1583" s="8"/>
      <c r="L1583" s="8"/>
      <c r="M1583" s="8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  <c r="AD1583" s="8"/>
      <c r="AE1583" s="8"/>
      <c r="AF1583" s="8"/>
      <c r="AG1583" s="8"/>
      <c r="AH1583" s="8"/>
      <c r="AI1583" s="8"/>
      <c r="AJ1583" s="8"/>
      <c r="AK1583" s="8"/>
      <c r="AL1583" s="8"/>
      <c r="AM1583" s="8"/>
      <c r="AN1583" s="8"/>
      <c r="AO1583" s="8"/>
      <c r="AP1583" s="8"/>
      <c r="AQ1583" s="8"/>
      <c r="AR1583" s="8"/>
      <c r="AS1583" s="8"/>
      <c r="AT1583" s="8"/>
      <c r="AU1583" s="8"/>
      <c r="AV1583" s="8"/>
      <c r="AW1583" s="8"/>
      <c r="AX1583" s="8"/>
      <c r="AY1583" s="8"/>
      <c r="AZ1583" s="10"/>
    </row>
    <row r="1584" spans="2:52" x14ac:dyDescent="0.35">
      <c r="B1584" s="7"/>
      <c r="C1584" s="8"/>
      <c r="D1584" s="8"/>
      <c r="E1584" s="8"/>
      <c r="F1584" s="8"/>
      <c r="G1584" s="8"/>
      <c r="H1584" s="8"/>
      <c r="I1584" s="8"/>
      <c r="J1584" s="8"/>
      <c r="K1584" s="8"/>
      <c r="L1584" s="8"/>
      <c r="M1584" s="8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  <c r="AD1584" s="8"/>
      <c r="AE1584" s="8"/>
      <c r="AF1584" s="8"/>
      <c r="AG1584" s="8"/>
      <c r="AH1584" s="8"/>
      <c r="AI1584" s="8"/>
      <c r="AJ1584" s="8"/>
      <c r="AK1584" s="8"/>
      <c r="AL1584" s="8"/>
      <c r="AM1584" s="8"/>
      <c r="AN1584" s="8"/>
      <c r="AO1584" s="8"/>
      <c r="AP1584" s="8"/>
      <c r="AQ1584" s="8"/>
      <c r="AR1584" s="8"/>
      <c r="AS1584" s="8"/>
      <c r="AT1584" s="8"/>
      <c r="AU1584" s="8"/>
      <c r="AV1584" s="8"/>
      <c r="AW1584" s="8"/>
      <c r="AX1584" s="8"/>
      <c r="AY1584" s="8"/>
      <c r="AZ1584" s="10"/>
    </row>
    <row r="1585" spans="2:52" x14ac:dyDescent="0.35">
      <c r="B1585" s="7"/>
      <c r="C1585" s="8"/>
      <c r="D1585" s="8"/>
      <c r="E1585" s="8"/>
      <c r="F1585" s="8"/>
      <c r="G1585" s="8"/>
      <c r="H1585" s="8"/>
      <c r="I1585" s="8"/>
      <c r="J1585" s="8"/>
      <c r="K1585" s="8"/>
      <c r="L1585" s="8"/>
      <c r="M1585" s="8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  <c r="AD1585" s="8"/>
      <c r="AE1585" s="8"/>
      <c r="AF1585" s="8"/>
      <c r="AG1585" s="8"/>
      <c r="AH1585" s="8"/>
      <c r="AI1585" s="8"/>
      <c r="AJ1585" s="8"/>
      <c r="AK1585" s="8"/>
      <c r="AL1585" s="8"/>
      <c r="AM1585" s="8"/>
      <c r="AN1585" s="8"/>
      <c r="AO1585" s="8"/>
      <c r="AP1585" s="8"/>
      <c r="AQ1585" s="8"/>
      <c r="AR1585" s="8"/>
      <c r="AS1585" s="8"/>
      <c r="AT1585" s="8"/>
      <c r="AU1585" s="8"/>
      <c r="AV1585" s="8"/>
      <c r="AW1585" s="8"/>
      <c r="AX1585" s="8"/>
      <c r="AY1585" s="8"/>
      <c r="AZ1585" s="10"/>
    </row>
    <row r="1586" spans="2:52" x14ac:dyDescent="0.35">
      <c r="B1586" s="7"/>
      <c r="C1586" s="8"/>
      <c r="D1586" s="8"/>
      <c r="E1586" s="8"/>
      <c r="F1586" s="8"/>
      <c r="G1586" s="8"/>
      <c r="H1586" s="8"/>
      <c r="I1586" s="8"/>
      <c r="J1586" s="8"/>
      <c r="K1586" s="8"/>
      <c r="L1586" s="8"/>
      <c r="M1586" s="8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8"/>
      <c r="AE1586" s="8"/>
      <c r="AF1586" s="8"/>
      <c r="AG1586" s="8"/>
      <c r="AH1586" s="8"/>
      <c r="AI1586" s="8"/>
      <c r="AJ1586" s="8"/>
      <c r="AK1586" s="8"/>
      <c r="AL1586" s="8"/>
      <c r="AM1586" s="8"/>
      <c r="AN1586" s="8"/>
      <c r="AO1586" s="8"/>
      <c r="AP1586" s="8"/>
      <c r="AQ1586" s="8"/>
      <c r="AR1586" s="8"/>
      <c r="AS1586" s="8"/>
      <c r="AT1586" s="8"/>
      <c r="AU1586" s="8"/>
      <c r="AV1586" s="8"/>
      <c r="AW1586" s="8"/>
      <c r="AX1586" s="8"/>
      <c r="AY1586" s="8"/>
      <c r="AZ1586" s="10"/>
    </row>
    <row r="1587" spans="2:52" x14ac:dyDescent="0.35">
      <c r="B1587" s="7"/>
      <c r="C1587" s="8"/>
      <c r="D1587" s="8"/>
      <c r="E1587" s="8"/>
      <c r="F1587" s="8"/>
      <c r="G1587" s="8"/>
      <c r="H1587" s="8"/>
      <c r="I1587" s="8"/>
      <c r="J1587" s="8"/>
      <c r="K1587" s="8"/>
      <c r="L1587" s="8"/>
      <c r="M1587" s="8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8"/>
      <c r="AE1587" s="8"/>
      <c r="AF1587" s="8"/>
      <c r="AG1587" s="8"/>
      <c r="AH1587" s="8"/>
      <c r="AI1587" s="8"/>
      <c r="AJ1587" s="8"/>
      <c r="AK1587" s="8"/>
      <c r="AL1587" s="8"/>
      <c r="AM1587" s="8"/>
      <c r="AN1587" s="8"/>
      <c r="AO1587" s="8"/>
      <c r="AP1587" s="8"/>
      <c r="AQ1587" s="8"/>
      <c r="AR1587" s="8"/>
      <c r="AS1587" s="8"/>
      <c r="AT1587" s="8"/>
      <c r="AU1587" s="8"/>
      <c r="AV1587" s="8"/>
      <c r="AW1587" s="8"/>
      <c r="AX1587" s="8"/>
      <c r="AY1587" s="8"/>
      <c r="AZ1587" s="10"/>
    </row>
    <row r="1588" spans="2:52" x14ac:dyDescent="0.35">
      <c r="B1588" s="7"/>
      <c r="C1588" s="8"/>
      <c r="D1588" s="8"/>
      <c r="E1588" s="8"/>
      <c r="F1588" s="8"/>
      <c r="G1588" s="8"/>
      <c r="H1588" s="8"/>
      <c r="I1588" s="8"/>
      <c r="J1588" s="8"/>
      <c r="K1588" s="8"/>
      <c r="L1588" s="8"/>
      <c r="M1588" s="8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8"/>
      <c r="AE1588" s="8"/>
      <c r="AF1588" s="8"/>
      <c r="AG1588" s="8"/>
      <c r="AH1588" s="8"/>
      <c r="AI1588" s="8"/>
      <c r="AJ1588" s="8"/>
      <c r="AK1588" s="8"/>
      <c r="AL1588" s="8"/>
      <c r="AM1588" s="8"/>
      <c r="AN1588" s="8"/>
      <c r="AO1588" s="8"/>
      <c r="AP1588" s="8"/>
      <c r="AQ1588" s="8"/>
      <c r="AR1588" s="8"/>
      <c r="AS1588" s="8"/>
      <c r="AT1588" s="8"/>
      <c r="AU1588" s="8"/>
      <c r="AV1588" s="8"/>
      <c r="AW1588" s="8"/>
      <c r="AX1588" s="8"/>
      <c r="AY1588" s="8"/>
      <c r="AZ1588" s="10"/>
    </row>
    <row r="1589" spans="2:52" x14ac:dyDescent="0.35">
      <c r="B1589" s="7"/>
      <c r="C1589" s="8"/>
      <c r="D1589" s="8"/>
      <c r="E1589" s="8"/>
      <c r="F1589" s="8"/>
      <c r="G1589" s="8"/>
      <c r="H1589" s="8"/>
      <c r="I1589" s="8"/>
      <c r="J1589" s="8"/>
      <c r="K1589" s="8"/>
      <c r="L1589" s="8"/>
      <c r="M1589" s="8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  <c r="AD1589" s="8"/>
      <c r="AE1589" s="8"/>
      <c r="AF1589" s="8"/>
      <c r="AG1589" s="8"/>
      <c r="AH1589" s="8"/>
      <c r="AI1589" s="8"/>
      <c r="AJ1589" s="8"/>
      <c r="AK1589" s="8"/>
      <c r="AL1589" s="8"/>
      <c r="AM1589" s="8"/>
      <c r="AN1589" s="8"/>
      <c r="AO1589" s="8"/>
      <c r="AP1589" s="8"/>
      <c r="AQ1589" s="8"/>
      <c r="AR1589" s="8"/>
      <c r="AS1589" s="8"/>
      <c r="AT1589" s="8"/>
      <c r="AU1589" s="8"/>
      <c r="AV1589" s="8"/>
      <c r="AW1589" s="8"/>
      <c r="AX1589" s="8"/>
      <c r="AY1589" s="8"/>
      <c r="AZ1589" s="10"/>
    </row>
    <row r="1590" spans="2:52" x14ac:dyDescent="0.35">
      <c r="B1590" s="7"/>
      <c r="C1590" s="8"/>
      <c r="D1590" s="8"/>
      <c r="E1590" s="8"/>
      <c r="F1590" s="8"/>
      <c r="G1590" s="8"/>
      <c r="H1590" s="8"/>
      <c r="I1590" s="8"/>
      <c r="J1590" s="8"/>
      <c r="K1590" s="8"/>
      <c r="L1590" s="8"/>
      <c r="M1590" s="8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  <c r="AD1590" s="8"/>
      <c r="AE1590" s="8"/>
      <c r="AF1590" s="8"/>
      <c r="AG1590" s="8"/>
      <c r="AH1590" s="8"/>
      <c r="AI1590" s="8"/>
      <c r="AJ1590" s="8"/>
      <c r="AK1590" s="8"/>
      <c r="AL1590" s="8"/>
      <c r="AM1590" s="8"/>
      <c r="AN1590" s="8"/>
      <c r="AO1590" s="8"/>
      <c r="AP1590" s="8"/>
      <c r="AQ1590" s="8"/>
      <c r="AR1590" s="8"/>
      <c r="AS1590" s="8"/>
      <c r="AT1590" s="8"/>
      <c r="AU1590" s="8"/>
      <c r="AV1590" s="8"/>
      <c r="AW1590" s="8"/>
      <c r="AX1590" s="8"/>
      <c r="AY1590" s="8"/>
      <c r="AZ1590" s="10"/>
    </row>
    <row r="1591" spans="2:52" x14ac:dyDescent="0.35">
      <c r="B1591" s="7"/>
      <c r="C1591" s="8"/>
      <c r="D1591" s="8"/>
      <c r="E1591" s="8"/>
      <c r="F1591" s="8"/>
      <c r="G1591" s="8"/>
      <c r="H1591" s="8"/>
      <c r="I1591" s="8"/>
      <c r="J1591" s="8"/>
      <c r="K1591" s="8"/>
      <c r="L1591" s="8"/>
      <c r="M1591" s="8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  <c r="AD1591" s="8"/>
      <c r="AE1591" s="8"/>
      <c r="AF1591" s="8"/>
      <c r="AG1591" s="8"/>
      <c r="AH1591" s="8"/>
      <c r="AI1591" s="8"/>
      <c r="AJ1591" s="8"/>
      <c r="AK1591" s="8"/>
      <c r="AL1591" s="8"/>
      <c r="AM1591" s="8"/>
      <c r="AN1591" s="8"/>
      <c r="AO1591" s="8"/>
      <c r="AP1591" s="8"/>
      <c r="AQ1591" s="8"/>
      <c r="AR1591" s="8"/>
      <c r="AS1591" s="8"/>
      <c r="AT1591" s="8"/>
      <c r="AU1591" s="8"/>
      <c r="AV1591" s="8"/>
      <c r="AW1591" s="8"/>
      <c r="AX1591" s="8"/>
      <c r="AY1591" s="8"/>
      <c r="AZ1591" s="10"/>
    </row>
    <row r="1592" spans="2:52" x14ac:dyDescent="0.35">
      <c r="B1592" s="7"/>
      <c r="C1592" s="8"/>
      <c r="D1592" s="8"/>
      <c r="E1592" s="8"/>
      <c r="F1592" s="8"/>
      <c r="G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8"/>
      <c r="AE1592" s="8"/>
      <c r="AF1592" s="8"/>
      <c r="AG1592" s="8"/>
      <c r="AH1592" s="8"/>
      <c r="AI1592" s="8"/>
      <c r="AJ1592" s="8"/>
      <c r="AK1592" s="8"/>
      <c r="AL1592" s="8"/>
      <c r="AM1592" s="8"/>
      <c r="AN1592" s="8"/>
      <c r="AO1592" s="8"/>
      <c r="AP1592" s="8"/>
      <c r="AQ1592" s="8"/>
      <c r="AR1592" s="8"/>
      <c r="AS1592" s="8"/>
      <c r="AT1592" s="8"/>
      <c r="AU1592" s="8"/>
      <c r="AV1592" s="8"/>
      <c r="AW1592" s="8"/>
      <c r="AX1592" s="8"/>
      <c r="AY1592" s="8"/>
      <c r="AZ1592" s="10"/>
    </row>
    <row r="1593" spans="2:52" x14ac:dyDescent="0.35">
      <c r="B1593" s="7"/>
      <c r="C1593" s="8"/>
      <c r="D1593" s="8"/>
      <c r="E1593" s="8"/>
      <c r="F1593" s="8"/>
      <c r="G1593" s="8"/>
      <c r="H1593" s="8"/>
      <c r="I1593" s="8"/>
      <c r="J1593" s="8"/>
      <c r="K1593" s="8"/>
      <c r="L1593" s="8"/>
      <c r="M1593" s="8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8"/>
      <c r="AE1593" s="8"/>
      <c r="AF1593" s="8"/>
      <c r="AG1593" s="8"/>
      <c r="AH1593" s="8"/>
      <c r="AI1593" s="8"/>
      <c r="AJ1593" s="8"/>
      <c r="AK1593" s="8"/>
      <c r="AL1593" s="8"/>
      <c r="AM1593" s="8"/>
      <c r="AN1593" s="8"/>
      <c r="AO1593" s="8"/>
      <c r="AP1593" s="8"/>
      <c r="AQ1593" s="8"/>
      <c r="AR1593" s="8"/>
      <c r="AS1593" s="8"/>
      <c r="AT1593" s="8"/>
      <c r="AU1593" s="8"/>
      <c r="AV1593" s="8"/>
      <c r="AW1593" s="8"/>
      <c r="AX1593" s="8"/>
      <c r="AY1593" s="8"/>
      <c r="AZ1593" s="10"/>
    </row>
    <row r="1594" spans="2:52" x14ac:dyDescent="0.35">
      <c r="B1594" s="7"/>
      <c r="C1594" s="8"/>
      <c r="D1594" s="8"/>
      <c r="E1594" s="8"/>
      <c r="F1594" s="8"/>
      <c r="G1594" s="8"/>
      <c r="H1594" s="8"/>
      <c r="I1594" s="8"/>
      <c r="J1594" s="8"/>
      <c r="K1594" s="8"/>
      <c r="L1594" s="8"/>
      <c r="M1594" s="8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  <c r="AD1594" s="8"/>
      <c r="AE1594" s="8"/>
      <c r="AF1594" s="8"/>
      <c r="AG1594" s="8"/>
      <c r="AH1594" s="8"/>
      <c r="AI1594" s="8"/>
      <c r="AJ1594" s="8"/>
      <c r="AK1594" s="8"/>
      <c r="AL1594" s="8"/>
      <c r="AM1594" s="8"/>
      <c r="AN1594" s="8"/>
      <c r="AO1594" s="8"/>
      <c r="AP1594" s="8"/>
      <c r="AQ1594" s="8"/>
      <c r="AR1594" s="8"/>
      <c r="AS1594" s="8"/>
      <c r="AT1594" s="8"/>
      <c r="AU1594" s="8"/>
      <c r="AV1594" s="8"/>
      <c r="AW1594" s="8"/>
      <c r="AX1594" s="8"/>
      <c r="AY1594" s="8"/>
      <c r="AZ1594" s="10"/>
    </row>
    <row r="1595" spans="2:52" x14ac:dyDescent="0.35">
      <c r="B1595" s="7"/>
      <c r="C1595" s="8"/>
      <c r="D1595" s="8"/>
      <c r="E1595" s="8"/>
      <c r="F1595" s="8"/>
      <c r="G1595" s="8"/>
      <c r="H1595" s="8"/>
      <c r="I1595" s="8"/>
      <c r="J1595" s="8"/>
      <c r="K1595" s="8"/>
      <c r="L1595" s="8"/>
      <c r="M1595" s="8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  <c r="AD1595" s="8"/>
      <c r="AE1595" s="8"/>
      <c r="AF1595" s="8"/>
      <c r="AG1595" s="8"/>
      <c r="AH1595" s="8"/>
      <c r="AI1595" s="8"/>
      <c r="AJ1595" s="8"/>
      <c r="AK1595" s="8"/>
      <c r="AL1595" s="8"/>
      <c r="AM1595" s="8"/>
      <c r="AN1595" s="8"/>
      <c r="AO1595" s="8"/>
      <c r="AP1595" s="8"/>
      <c r="AQ1595" s="8"/>
      <c r="AR1595" s="8"/>
      <c r="AS1595" s="8"/>
      <c r="AT1595" s="8"/>
      <c r="AU1595" s="8"/>
      <c r="AV1595" s="8"/>
      <c r="AW1595" s="8"/>
      <c r="AX1595" s="8"/>
      <c r="AY1595" s="8"/>
      <c r="AZ1595" s="10"/>
    </row>
    <row r="1596" spans="2:52" x14ac:dyDescent="0.35">
      <c r="B1596" s="7"/>
      <c r="C1596" s="8"/>
      <c r="D1596" s="8"/>
      <c r="E1596" s="8"/>
      <c r="F1596" s="8"/>
      <c r="G1596" s="8"/>
      <c r="H1596" s="8"/>
      <c r="I1596" s="8"/>
      <c r="J1596" s="8"/>
      <c r="K1596" s="8"/>
      <c r="L1596" s="8"/>
      <c r="M1596" s="8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  <c r="AD1596" s="8"/>
      <c r="AE1596" s="8"/>
      <c r="AF1596" s="8"/>
      <c r="AG1596" s="8"/>
      <c r="AH1596" s="8"/>
      <c r="AI1596" s="8"/>
      <c r="AJ1596" s="8"/>
      <c r="AK1596" s="8"/>
      <c r="AL1596" s="8"/>
      <c r="AM1596" s="8"/>
      <c r="AN1596" s="8"/>
      <c r="AO1596" s="8"/>
      <c r="AP1596" s="8"/>
      <c r="AQ1596" s="8"/>
      <c r="AR1596" s="8"/>
      <c r="AS1596" s="8"/>
      <c r="AT1596" s="8"/>
      <c r="AU1596" s="8"/>
      <c r="AV1596" s="8"/>
      <c r="AW1596" s="8"/>
      <c r="AX1596" s="8"/>
      <c r="AY1596" s="8"/>
      <c r="AZ1596" s="10"/>
    </row>
    <row r="1597" spans="2:52" x14ac:dyDescent="0.35">
      <c r="B1597" s="7"/>
      <c r="C1597" s="8"/>
      <c r="D1597" s="8"/>
      <c r="E1597" s="8"/>
      <c r="F1597" s="8"/>
      <c r="G1597" s="8"/>
      <c r="H1597" s="8"/>
      <c r="I1597" s="8"/>
      <c r="J1597" s="8"/>
      <c r="K1597" s="8"/>
      <c r="L1597" s="8"/>
      <c r="M1597" s="8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  <c r="AD1597" s="8"/>
      <c r="AE1597" s="8"/>
      <c r="AF1597" s="8"/>
      <c r="AG1597" s="8"/>
      <c r="AH1597" s="8"/>
      <c r="AI1597" s="8"/>
      <c r="AJ1597" s="8"/>
      <c r="AK1597" s="8"/>
      <c r="AL1597" s="8"/>
      <c r="AM1597" s="8"/>
      <c r="AN1597" s="8"/>
      <c r="AO1597" s="8"/>
      <c r="AP1597" s="8"/>
      <c r="AQ1597" s="8"/>
      <c r="AR1597" s="8"/>
      <c r="AS1597" s="8"/>
      <c r="AT1597" s="8"/>
      <c r="AU1597" s="8"/>
      <c r="AV1597" s="8"/>
      <c r="AW1597" s="8"/>
      <c r="AX1597" s="8"/>
      <c r="AY1597" s="8"/>
      <c r="AZ1597" s="10"/>
    </row>
    <row r="1598" spans="2:52" x14ac:dyDescent="0.35">
      <c r="B1598" s="7"/>
      <c r="C1598" s="8"/>
      <c r="D1598" s="8"/>
      <c r="E1598" s="8"/>
      <c r="F1598" s="8"/>
      <c r="G1598" s="8"/>
      <c r="H1598" s="8"/>
      <c r="I1598" s="8"/>
      <c r="J1598" s="8"/>
      <c r="K1598" s="8"/>
      <c r="L1598" s="8"/>
      <c r="M1598" s="8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  <c r="AD1598" s="8"/>
      <c r="AE1598" s="8"/>
      <c r="AF1598" s="8"/>
      <c r="AG1598" s="8"/>
      <c r="AH1598" s="8"/>
      <c r="AI1598" s="8"/>
      <c r="AJ1598" s="8"/>
      <c r="AK1598" s="8"/>
      <c r="AL1598" s="8"/>
      <c r="AM1598" s="8"/>
      <c r="AN1598" s="8"/>
      <c r="AO1598" s="8"/>
      <c r="AP1598" s="8"/>
      <c r="AQ1598" s="8"/>
      <c r="AR1598" s="8"/>
      <c r="AS1598" s="8"/>
      <c r="AT1598" s="8"/>
      <c r="AU1598" s="8"/>
      <c r="AV1598" s="8"/>
      <c r="AW1598" s="8"/>
      <c r="AX1598" s="8"/>
      <c r="AY1598" s="8"/>
      <c r="AZ1598" s="10"/>
    </row>
    <row r="1599" spans="2:52" x14ac:dyDescent="0.35">
      <c r="B1599" s="7"/>
      <c r="C1599" s="8"/>
      <c r="D1599" s="8"/>
      <c r="E1599" s="8"/>
      <c r="F1599" s="8"/>
      <c r="G1599" s="8"/>
      <c r="H1599" s="8"/>
      <c r="I1599" s="8"/>
      <c r="J1599" s="8"/>
      <c r="K1599" s="8"/>
      <c r="L1599" s="8"/>
      <c r="M1599" s="8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  <c r="AD1599" s="8"/>
      <c r="AE1599" s="8"/>
      <c r="AF1599" s="8"/>
      <c r="AG1599" s="8"/>
      <c r="AH1599" s="8"/>
      <c r="AI1599" s="8"/>
      <c r="AJ1599" s="8"/>
      <c r="AK1599" s="8"/>
      <c r="AL1599" s="8"/>
      <c r="AM1599" s="8"/>
      <c r="AN1599" s="8"/>
      <c r="AO1599" s="8"/>
      <c r="AP1599" s="8"/>
      <c r="AQ1599" s="8"/>
      <c r="AR1599" s="8"/>
      <c r="AS1599" s="8"/>
      <c r="AT1599" s="8"/>
      <c r="AU1599" s="8"/>
      <c r="AV1599" s="8"/>
      <c r="AW1599" s="8"/>
      <c r="AX1599" s="8"/>
      <c r="AY1599" s="8"/>
      <c r="AZ1599" s="10"/>
    </row>
    <row r="1600" spans="2:52" x14ac:dyDescent="0.35">
      <c r="B1600" s="7"/>
      <c r="C1600" s="8"/>
      <c r="D1600" s="8"/>
      <c r="E1600" s="8"/>
      <c r="F1600" s="8"/>
      <c r="G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  <c r="AD1600" s="8"/>
      <c r="AE1600" s="8"/>
      <c r="AF1600" s="8"/>
      <c r="AG1600" s="8"/>
      <c r="AH1600" s="8"/>
      <c r="AI1600" s="8"/>
      <c r="AJ1600" s="8"/>
      <c r="AK1600" s="8"/>
      <c r="AL1600" s="8"/>
      <c r="AM1600" s="8"/>
      <c r="AN1600" s="8"/>
      <c r="AO1600" s="8"/>
      <c r="AP1600" s="8"/>
      <c r="AQ1600" s="8"/>
      <c r="AR1600" s="8"/>
      <c r="AS1600" s="8"/>
      <c r="AT1600" s="8"/>
      <c r="AU1600" s="8"/>
      <c r="AV1600" s="8"/>
      <c r="AW1600" s="8"/>
      <c r="AX1600" s="8"/>
      <c r="AY1600" s="8"/>
      <c r="AZ1600" s="10"/>
    </row>
    <row r="1601" spans="2:52" x14ac:dyDescent="0.35">
      <c r="B1601" s="7"/>
      <c r="C1601" s="8"/>
      <c r="D1601" s="8"/>
      <c r="E1601" s="8"/>
      <c r="F1601" s="8"/>
      <c r="G1601" s="8"/>
      <c r="H1601" s="8"/>
      <c r="I1601" s="8"/>
      <c r="J1601" s="8"/>
      <c r="K1601" s="8"/>
      <c r="L1601" s="8"/>
      <c r="M1601" s="8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  <c r="AD1601" s="8"/>
      <c r="AE1601" s="8"/>
      <c r="AF1601" s="8"/>
      <c r="AG1601" s="8"/>
      <c r="AH1601" s="8"/>
      <c r="AI1601" s="8"/>
      <c r="AJ1601" s="8"/>
      <c r="AK1601" s="8"/>
      <c r="AL1601" s="8"/>
      <c r="AM1601" s="8"/>
      <c r="AN1601" s="8"/>
      <c r="AO1601" s="8"/>
      <c r="AP1601" s="8"/>
      <c r="AQ1601" s="8"/>
      <c r="AR1601" s="8"/>
      <c r="AS1601" s="8"/>
      <c r="AT1601" s="8"/>
      <c r="AU1601" s="8"/>
      <c r="AV1601" s="8"/>
      <c r="AW1601" s="8"/>
      <c r="AX1601" s="8"/>
      <c r="AY1601" s="8"/>
      <c r="AZ1601" s="10"/>
    </row>
    <row r="1602" spans="2:52" x14ac:dyDescent="0.35">
      <c r="B1602" s="7"/>
      <c r="C1602" s="8"/>
      <c r="D1602" s="8"/>
      <c r="E1602" s="8"/>
      <c r="F1602" s="8"/>
      <c r="G1602" s="8"/>
      <c r="H1602" s="8"/>
      <c r="I1602" s="8"/>
      <c r="J1602" s="8"/>
      <c r="K1602" s="8"/>
      <c r="L1602" s="8"/>
      <c r="M1602" s="8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  <c r="AD1602" s="8"/>
      <c r="AE1602" s="8"/>
      <c r="AF1602" s="8"/>
      <c r="AG1602" s="8"/>
      <c r="AH1602" s="8"/>
      <c r="AI1602" s="8"/>
      <c r="AJ1602" s="8"/>
      <c r="AK1602" s="8"/>
      <c r="AL1602" s="8"/>
      <c r="AM1602" s="8"/>
      <c r="AN1602" s="8"/>
      <c r="AO1602" s="8"/>
      <c r="AP1602" s="8"/>
      <c r="AQ1602" s="8"/>
      <c r="AR1602" s="8"/>
      <c r="AS1602" s="8"/>
      <c r="AT1602" s="8"/>
      <c r="AU1602" s="8"/>
      <c r="AV1602" s="8"/>
      <c r="AW1602" s="8"/>
      <c r="AX1602" s="8"/>
      <c r="AY1602" s="8"/>
      <c r="AZ1602" s="10"/>
    </row>
    <row r="1603" spans="2:52" x14ac:dyDescent="0.35">
      <c r="B1603" s="7"/>
      <c r="C1603" s="8"/>
      <c r="D1603" s="8"/>
      <c r="E1603" s="8"/>
      <c r="F1603" s="8"/>
      <c r="G1603" s="8"/>
      <c r="H1603" s="8"/>
      <c r="I1603" s="8"/>
      <c r="J1603" s="8"/>
      <c r="K1603" s="8"/>
      <c r="L1603" s="8"/>
      <c r="M1603" s="8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  <c r="AD1603" s="8"/>
      <c r="AE1603" s="8"/>
      <c r="AF1603" s="8"/>
      <c r="AG1603" s="8"/>
      <c r="AH1603" s="8"/>
      <c r="AI1603" s="8"/>
      <c r="AJ1603" s="8"/>
      <c r="AK1603" s="8"/>
      <c r="AL1603" s="8"/>
      <c r="AM1603" s="8"/>
      <c r="AN1603" s="8"/>
      <c r="AO1603" s="8"/>
      <c r="AP1603" s="8"/>
      <c r="AQ1603" s="8"/>
      <c r="AR1603" s="8"/>
      <c r="AS1603" s="8"/>
      <c r="AT1603" s="8"/>
      <c r="AU1603" s="8"/>
      <c r="AV1603" s="8"/>
      <c r="AW1603" s="8"/>
      <c r="AX1603" s="8"/>
      <c r="AY1603" s="8"/>
      <c r="AZ1603" s="10"/>
    </row>
    <row r="1604" spans="2:52" x14ac:dyDescent="0.35">
      <c r="B1604" s="7"/>
      <c r="C1604" s="8"/>
      <c r="D1604" s="8"/>
      <c r="E1604" s="8"/>
      <c r="F1604" s="8"/>
      <c r="G1604" s="8"/>
      <c r="H1604" s="8"/>
      <c r="I1604" s="8"/>
      <c r="J1604" s="8"/>
      <c r="K1604" s="8"/>
      <c r="L1604" s="8"/>
      <c r="M1604" s="8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  <c r="AD1604" s="8"/>
      <c r="AE1604" s="8"/>
      <c r="AF1604" s="8"/>
      <c r="AG1604" s="8"/>
      <c r="AH1604" s="8"/>
      <c r="AI1604" s="8"/>
      <c r="AJ1604" s="8"/>
      <c r="AK1604" s="8"/>
      <c r="AL1604" s="8"/>
      <c r="AM1604" s="8"/>
      <c r="AN1604" s="8"/>
      <c r="AO1604" s="8"/>
      <c r="AP1604" s="8"/>
      <c r="AQ1604" s="8"/>
      <c r="AR1604" s="8"/>
      <c r="AS1604" s="8"/>
      <c r="AT1604" s="8"/>
      <c r="AU1604" s="8"/>
      <c r="AV1604" s="8"/>
      <c r="AW1604" s="8"/>
      <c r="AX1604" s="8"/>
      <c r="AY1604" s="8"/>
      <c r="AZ1604" s="10"/>
    </row>
    <row r="1605" spans="2:52" x14ac:dyDescent="0.35">
      <c r="B1605" s="7"/>
      <c r="C1605" s="8"/>
      <c r="D1605" s="8"/>
      <c r="E1605" s="8"/>
      <c r="F1605" s="8"/>
      <c r="G1605" s="8"/>
      <c r="H1605" s="8"/>
      <c r="I1605" s="8"/>
      <c r="J1605" s="8"/>
      <c r="K1605" s="8"/>
      <c r="L1605" s="8"/>
      <c r="M1605" s="8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  <c r="AD1605" s="8"/>
      <c r="AE1605" s="8"/>
      <c r="AF1605" s="8"/>
      <c r="AG1605" s="8"/>
      <c r="AH1605" s="8"/>
      <c r="AI1605" s="8"/>
      <c r="AJ1605" s="8"/>
      <c r="AK1605" s="8"/>
      <c r="AL1605" s="8"/>
      <c r="AM1605" s="8"/>
      <c r="AN1605" s="8"/>
      <c r="AO1605" s="8"/>
      <c r="AP1605" s="8"/>
      <c r="AQ1605" s="8"/>
      <c r="AR1605" s="8"/>
      <c r="AS1605" s="8"/>
      <c r="AT1605" s="8"/>
      <c r="AU1605" s="8"/>
      <c r="AV1605" s="8"/>
      <c r="AW1605" s="8"/>
      <c r="AX1605" s="8"/>
      <c r="AY1605" s="8"/>
      <c r="AZ1605" s="10"/>
    </row>
    <row r="1606" spans="2:52" x14ac:dyDescent="0.35">
      <c r="B1606" s="7"/>
      <c r="C1606" s="8"/>
      <c r="D1606" s="8"/>
      <c r="E1606" s="8"/>
      <c r="F1606" s="8"/>
      <c r="G1606" s="8"/>
      <c r="H1606" s="8"/>
      <c r="I1606" s="8"/>
      <c r="J1606" s="8"/>
      <c r="K1606" s="8"/>
      <c r="L1606" s="8"/>
      <c r="M1606" s="8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8"/>
      <c r="AE1606" s="8"/>
      <c r="AF1606" s="8"/>
      <c r="AG1606" s="8"/>
      <c r="AH1606" s="8"/>
      <c r="AI1606" s="8"/>
      <c r="AJ1606" s="8"/>
      <c r="AK1606" s="8"/>
      <c r="AL1606" s="8"/>
      <c r="AM1606" s="8"/>
      <c r="AN1606" s="8"/>
      <c r="AO1606" s="8"/>
      <c r="AP1606" s="8"/>
      <c r="AQ1606" s="8"/>
      <c r="AR1606" s="8"/>
      <c r="AS1606" s="8"/>
      <c r="AT1606" s="8"/>
      <c r="AU1606" s="8"/>
      <c r="AV1606" s="8"/>
      <c r="AW1606" s="8"/>
      <c r="AX1606" s="8"/>
      <c r="AY1606" s="8"/>
      <c r="AZ1606" s="10"/>
    </row>
    <row r="1607" spans="2:52" x14ac:dyDescent="0.35">
      <c r="B1607" s="7"/>
      <c r="C1607" s="8"/>
      <c r="D1607" s="8"/>
      <c r="E1607" s="8"/>
      <c r="F1607" s="8"/>
      <c r="G1607" s="8"/>
      <c r="H1607" s="8"/>
      <c r="I1607" s="8"/>
      <c r="J1607" s="8"/>
      <c r="K1607" s="8"/>
      <c r="L1607" s="8"/>
      <c r="M1607" s="8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  <c r="AD1607" s="8"/>
      <c r="AE1607" s="8"/>
      <c r="AF1607" s="8"/>
      <c r="AG1607" s="8"/>
      <c r="AH1607" s="8"/>
      <c r="AI1607" s="8"/>
      <c r="AJ1607" s="8"/>
      <c r="AK1607" s="8"/>
      <c r="AL1607" s="8"/>
      <c r="AM1607" s="8"/>
      <c r="AN1607" s="8"/>
      <c r="AO1607" s="8"/>
      <c r="AP1607" s="8"/>
      <c r="AQ1607" s="8"/>
      <c r="AR1607" s="8"/>
      <c r="AS1607" s="8"/>
      <c r="AT1607" s="8"/>
      <c r="AU1607" s="8"/>
      <c r="AV1607" s="8"/>
      <c r="AW1607" s="8"/>
      <c r="AX1607" s="8"/>
      <c r="AY1607" s="8"/>
      <c r="AZ1607" s="10"/>
    </row>
    <row r="1608" spans="2:52" x14ac:dyDescent="0.35">
      <c r="B1608" s="7"/>
      <c r="C1608" s="8"/>
      <c r="D1608" s="8"/>
      <c r="E1608" s="8"/>
      <c r="F1608" s="8"/>
      <c r="G1608" s="8"/>
      <c r="H1608" s="8"/>
      <c r="I1608" s="8"/>
      <c r="J1608" s="8"/>
      <c r="K1608" s="8"/>
      <c r="L1608" s="8"/>
      <c r="M1608" s="8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  <c r="AD1608" s="8"/>
      <c r="AE1608" s="8"/>
      <c r="AF1608" s="8"/>
      <c r="AG1608" s="8"/>
      <c r="AH1608" s="8"/>
      <c r="AI1608" s="8"/>
      <c r="AJ1608" s="8"/>
      <c r="AK1608" s="8"/>
      <c r="AL1608" s="8"/>
      <c r="AM1608" s="8"/>
      <c r="AN1608" s="8"/>
      <c r="AO1608" s="8"/>
      <c r="AP1608" s="8"/>
      <c r="AQ1608" s="8"/>
      <c r="AR1608" s="8"/>
      <c r="AS1608" s="8"/>
      <c r="AT1608" s="8"/>
      <c r="AU1608" s="8"/>
      <c r="AV1608" s="8"/>
      <c r="AW1608" s="8"/>
      <c r="AX1608" s="8"/>
      <c r="AY1608" s="8"/>
      <c r="AZ1608" s="10"/>
    </row>
    <row r="1609" spans="2:52" x14ac:dyDescent="0.35">
      <c r="B1609" s="7"/>
      <c r="C1609" s="8"/>
      <c r="D1609" s="8"/>
      <c r="E1609" s="8"/>
      <c r="F1609" s="8"/>
      <c r="G1609" s="8"/>
      <c r="H1609" s="8"/>
      <c r="I1609" s="8"/>
      <c r="J1609" s="8"/>
      <c r="K1609" s="8"/>
      <c r="L1609" s="8"/>
      <c r="M1609" s="8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  <c r="AG1609" s="8"/>
      <c r="AH1609" s="8"/>
      <c r="AI1609" s="8"/>
      <c r="AJ1609" s="8"/>
      <c r="AK1609" s="8"/>
      <c r="AL1609" s="8"/>
      <c r="AM1609" s="8"/>
      <c r="AN1609" s="8"/>
      <c r="AO1609" s="8"/>
      <c r="AP1609" s="8"/>
      <c r="AQ1609" s="8"/>
      <c r="AR1609" s="8"/>
      <c r="AS1609" s="8"/>
      <c r="AT1609" s="8"/>
      <c r="AU1609" s="8"/>
      <c r="AV1609" s="8"/>
      <c r="AW1609" s="8"/>
      <c r="AX1609" s="8"/>
      <c r="AY1609" s="8"/>
      <c r="AZ1609" s="10"/>
    </row>
    <row r="1610" spans="2:52" x14ac:dyDescent="0.35">
      <c r="B1610" s="7"/>
      <c r="C1610" s="8"/>
      <c r="D1610" s="8"/>
      <c r="E1610" s="8"/>
      <c r="F1610" s="8"/>
      <c r="G1610" s="8"/>
      <c r="H1610" s="8"/>
      <c r="I1610" s="8"/>
      <c r="J1610" s="8"/>
      <c r="K1610" s="8"/>
      <c r="L1610" s="8"/>
      <c r="M1610" s="8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  <c r="AG1610" s="8"/>
      <c r="AH1610" s="8"/>
      <c r="AI1610" s="8"/>
      <c r="AJ1610" s="8"/>
      <c r="AK1610" s="8"/>
      <c r="AL1610" s="8"/>
      <c r="AM1610" s="8"/>
      <c r="AN1610" s="8"/>
      <c r="AO1610" s="8"/>
      <c r="AP1610" s="8"/>
      <c r="AQ1610" s="8"/>
      <c r="AR1610" s="8"/>
      <c r="AS1610" s="8"/>
      <c r="AT1610" s="8"/>
      <c r="AU1610" s="8"/>
      <c r="AV1610" s="8"/>
      <c r="AW1610" s="8"/>
      <c r="AX1610" s="8"/>
      <c r="AY1610" s="8"/>
      <c r="AZ1610" s="10"/>
    </row>
    <row r="1611" spans="2:52" x14ac:dyDescent="0.35">
      <c r="B1611" s="7"/>
      <c r="C1611" s="8"/>
      <c r="D1611" s="8"/>
      <c r="E1611" s="8"/>
      <c r="F1611" s="8"/>
      <c r="G1611" s="8"/>
      <c r="H1611" s="8"/>
      <c r="I1611" s="8"/>
      <c r="J1611" s="8"/>
      <c r="K1611" s="8"/>
      <c r="L1611" s="8"/>
      <c r="M1611" s="8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  <c r="AG1611" s="8"/>
      <c r="AH1611" s="8"/>
      <c r="AI1611" s="8"/>
      <c r="AJ1611" s="8"/>
      <c r="AK1611" s="8"/>
      <c r="AL1611" s="8"/>
      <c r="AM1611" s="8"/>
      <c r="AN1611" s="8"/>
      <c r="AO1611" s="8"/>
      <c r="AP1611" s="8"/>
      <c r="AQ1611" s="8"/>
      <c r="AR1611" s="8"/>
      <c r="AS1611" s="8"/>
      <c r="AT1611" s="8"/>
      <c r="AU1611" s="8"/>
      <c r="AV1611" s="8"/>
      <c r="AW1611" s="8"/>
      <c r="AX1611" s="8"/>
      <c r="AY1611" s="8"/>
      <c r="AZ1611" s="10"/>
    </row>
    <row r="1612" spans="2:52" x14ac:dyDescent="0.35">
      <c r="B1612" s="7"/>
      <c r="C1612" s="8"/>
      <c r="D1612" s="8"/>
      <c r="E1612" s="8"/>
      <c r="F1612" s="8"/>
      <c r="G1612" s="8"/>
      <c r="H1612" s="8"/>
      <c r="I1612" s="8"/>
      <c r="J1612" s="8"/>
      <c r="K1612" s="8"/>
      <c r="L1612" s="8"/>
      <c r="M1612" s="8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  <c r="AG1612" s="8"/>
      <c r="AH1612" s="8"/>
      <c r="AI1612" s="8"/>
      <c r="AJ1612" s="8"/>
      <c r="AK1612" s="8"/>
      <c r="AL1612" s="8"/>
      <c r="AM1612" s="8"/>
      <c r="AN1612" s="8"/>
      <c r="AO1612" s="8"/>
      <c r="AP1612" s="8"/>
      <c r="AQ1612" s="8"/>
      <c r="AR1612" s="8"/>
      <c r="AS1612" s="8"/>
      <c r="AT1612" s="8"/>
      <c r="AU1612" s="8"/>
      <c r="AV1612" s="8"/>
      <c r="AW1612" s="8"/>
      <c r="AX1612" s="8"/>
      <c r="AY1612" s="8"/>
      <c r="AZ1612" s="10"/>
    </row>
    <row r="1613" spans="2:52" x14ac:dyDescent="0.35">
      <c r="B1613" s="7"/>
      <c r="C1613" s="8"/>
      <c r="D1613" s="8"/>
      <c r="E1613" s="8"/>
      <c r="F1613" s="8"/>
      <c r="G1613" s="8"/>
      <c r="H1613" s="8"/>
      <c r="I1613" s="8"/>
      <c r="J1613" s="8"/>
      <c r="K1613" s="8"/>
      <c r="L1613" s="8"/>
      <c r="M1613" s="8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  <c r="AG1613" s="8"/>
      <c r="AH1613" s="8"/>
      <c r="AI1613" s="8"/>
      <c r="AJ1613" s="8"/>
      <c r="AK1613" s="8"/>
      <c r="AL1613" s="8"/>
      <c r="AM1613" s="8"/>
      <c r="AN1613" s="8"/>
      <c r="AO1613" s="8"/>
      <c r="AP1613" s="8"/>
      <c r="AQ1613" s="8"/>
      <c r="AR1613" s="8"/>
      <c r="AS1613" s="8"/>
      <c r="AT1613" s="8"/>
      <c r="AU1613" s="8"/>
      <c r="AV1613" s="8"/>
      <c r="AW1613" s="8"/>
      <c r="AX1613" s="8"/>
      <c r="AY1613" s="8"/>
      <c r="AZ1613" s="10"/>
    </row>
    <row r="1614" spans="2:52" x14ac:dyDescent="0.35">
      <c r="B1614" s="7"/>
      <c r="C1614" s="8"/>
      <c r="D1614" s="8"/>
      <c r="E1614" s="8"/>
      <c r="F1614" s="8"/>
      <c r="G1614" s="8"/>
      <c r="H1614" s="8"/>
      <c r="I1614" s="8"/>
      <c r="J1614" s="8"/>
      <c r="K1614" s="8"/>
      <c r="L1614" s="8"/>
      <c r="M1614" s="8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  <c r="AD1614" s="8"/>
      <c r="AE1614" s="8"/>
      <c r="AF1614" s="8"/>
      <c r="AG1614" s="8"/>
      <c r="AH1614" s="8"/>
      <c r="AI1614" s="8"/>
      <c r="AJ1614" s="8"/>
      <c r="AK1614" s="8"/>
      <c r="AL1614" s="8"/>
      <c r="AM1614" s="8"/>
      <c r="AN1614" s="8"/>
      <c r="AO1614" s="8"/>
      <c r="AP1614" s="8"/>
      <c r="AQ1614" s="8"/>
      <c r="AR1614" s="8"/>
      <c r="AS1614" s="8"/>
      <c r="AT1614" s="8"/>
      <c r="AU1614" s="8"/>
      <c r="AV1614" s="8"/>
      <c r="AW1614" s="8"/>
      <c r="AX1614" s="8"/>
      <c r="AY1614" s="8"/>
      <c r="AZ1614" s="10"/>
    </row>
    <row r="1615" spans="2:52" x14ac:dyDescent="0.35">
      <c r="B1615" s="7"/>
      <c r="C1615" s="8"/>
      <c r="D1615" s="8"/>
      <c r="E1615" s="8"/>
      <c r="F1615" s="8"/>
      <c r="G1615" s="8"/>
      <c r="H1615" s="8"/>
      <c r="I1615" s="8"/>
      <c r="J1615" s="8"/>
      <c r="K1615" s="8"/>
      <c r="L1615" s="8"/>
      <c r="M1615" s="8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  <c r="AD1615" s="8"/>
      <c r="AE1615" s="8"/>
      <c r="AF1615" s="8"/>
      <c r="AG1615" s="8"/>
      <c r="AH1615" s="8"/>
      <c r="AI1615" s="8"/>
      <c r="AJ1615" s="8"/>
      <c r="AK1615" s="8"/>
      <c r="AL1615" s="8"/>
      <c r="AM1615" s="8"/>
      <c r="AN1615" s="8"/>
      <c r="AO1615" s="8"/>
      <c r="AP1615" s="8"/>
      <c r="AQ1615" s="8"/>
      <c r="AR1615" s="8"/>
      <c r="AS1615" s="8"/>
      <c r="AT1615" s="8"/>
      <c r="AU1615" s="8"/>
      <c r="AV1615" s="8"/>
      <c r="AW1615" s="8"/>
      <c r="AX1615" s="8"/>
      <c r="AY1615" s="8"/>
      <c r="AZ1615" s="10"/>
    </row>
    <row r="1616" spans="2:52" x14ac:dyDescent="0.35">
      <c r="B1616" s="7"/>
      <c r="C1616" s="8"/>
      <c r="D1616" s="8"/>
      <c r="E1616" s="8"/>
      <c r="F1616" s="8"/>
      <c r="G1616" s="8"/>
      <c r="H1616" s="8"/>
      <c r="I1616" s="8"/>
      <c r="J1616" s="8"/>
      <c r="K1616" s="8"/>
      <c r="L1616" s="8"/>
      <c r="M1616" s="8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  <c r="AD1616" s="8"/>
      <c r="AE1616" s="8"/>
      <c r="AF1616" s="8"/>
      <c r="AG1616" s="8"/>
      <c r="AH1616" s="8"/>
      <c r="AI1616" s="8"/>
      <c r="AJ1616" s="8"/>
      <c r="AK1616" s="8"/>
      <c r="AL1616" s="8"/>
      <c r="AM1616" s="8"/>
      <c r="AN1616" s="8"/>
      <c r="AO1616" s="8"/>
      <c r="AP1616" s="8"/>
      <c r="AQ1616" s="8"/>
      <c r="AR1616" s="8"/>
      <c r="AS1616" s="8"/>
      <c r="AT1616" s="8"/>
      <c r="AU1616" s="8"/>
      <c r="AV1616" s="8"/>
      <c r="AW1616" s="8"/>
      <c r="AX1616" s="8"/>
      <c r="AY1616" s="8"/>
      <c r="AZ1616" s="10"/>
    </row>
    <row r="1617" spans="2:52" x14ac:dyDescent="0.35">
      <c r="B1617" s="7"/>
      <c r="C1617" s="8"/>
      <c r="D1617" s="8"/>
      <c r="E1617" s="8"/>
      <c r="F1617" s="8"/>
      <c r="G1617" s="8"/>
      <c r="H1617" s="8"/>
      <c r="I1617" s="8"/>
      <c r="J1617" s="8"/>
      <c r="K1617" s="8"/>
      <c r="L1617" s="8"/>
      <c r="M1617" s="8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  <c r="AD1617" s="8"/>
      <c r="AE1617" s="8"/>
      <c r="AF1617" s="8"/>
      <c r="AG1617" s="8"/>
      <c r="AH1617" s="8"/>
      <c r="AI1617" s="8"/>
      <c r="AJ1617" s="8"/>
      <c r="AK1617" s="8"/>
      <c r="AL1617" s="8"/>
      <c r="AM1617" s="8"/>
      <c r="AN1617" s="8"/>
      <c r="AO1617" s="8"/>
      <c r="AP1617" s="8"/>
      <c r="AQ1617" s="8"/>
      <c r="AR1617" s="8"/>
      <c r="AS1617" s="8"/>
      <c r="AT1617" s="8"/>
      <c r="AU1617" s="8"/>
      <c r="AV1617" s="8"/>
      <c r="AW1617" s="8"/>
      <c r="AX1617" s="8"/>
      <c r="AY1617" s="8"/>
      <c r="AZ1617" s="10"/>
    </row>
    <row r="1618" spans="2:52" x14ac:dyDescent="0.35">
      <c r="B1618" s="7"/>
      <c r="C1618" s="8"/>
      <c r="D1618" s="8"/>
      <c r="E1618" s="8"/>
      <c r="F1618" s="8"/>
      <c r="G1618" s="8"/>
      <c r="H1618" s="8"/>
      <c r="I1618" s="8"/>
      <c r="J1618" s="8"/>
      <c r="K1618" s="8"/>
      <c r="L1618" s="8"/>
      <c r="M1618" s="8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  <c r="AD1618" s="8"/>
      <c r="AE1618" s="8"/>
      <c r="AF1618" s="8"/>
      <c r="AG1618" s="8"/>
      <c r="AH1618" s="8"/>
      <c r="AI1618" s="8"/>
      <c r="AJ1618" s="8"/>
      <c r="AK1618" s="8"/>
      <c r="AL1618" s="8"/>
      <c r="AM1618" s="8"/>
      <c r="AN1618" s="8"/>
      <c r="AO1618" s="8"/>
      <c r="AP1618" s="8"/>
      <c r="AQ1618" s="8"/>
      <c r="AR1618" s="8"/>
      <c r="AS1618" s="8"/>
      <c r="AT1618" s="8"/>
      <c r="AU1618" s="8"/>
      <c r="AV1618" s="8"/>
      <c r="AW1618" s="8"/>
      <c r="AX1618" s="8"/>
      <c r="AY1618" s="8"/>
      <c r="AZ1618" s="10"/>
    </row>
    <row r="1619" spans="2:52" x14ac:dyDescent="0.35">
      <c r="B1619" s="7"/>
      <c r="C1619" s="8"/>
      <c r="D1619" s="8"/>
      <c r="E1619" s="8"/>
      <c r="F1619" s="8"/>
      <c r="G1619" s="8"/>
      <c r="H1619" s="8"/>
      <c r="I1619" s="8"/>
      <c r="J1619" s="8"/>
      <c r="K1619" s="8"/>
      <c r="L1619" s="8"/>
      <c r="M1619" s="8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  <c r="AD1619" s="8"/>
      <c r="AE1619" s="8"/>
      <c r="AF1619" s="8"/>
      <c r="AG1619" s="8"/>
      <c r="AH1619" s="8"/>
      <c r="AI1619" s="8"/>
      <c r="AJ1619" s="8"/>
      <c r="AK1619" s="8"/>
      <c r="AL1619" s="8"/>
      <c r="AM1619" s="8"/>
      <c r="AN1619" s="8"/>
      <c r="AO1619" s="8"/>
      <c r="AP1619" s="8"/>
      <c r="AQ1619" s="8"/>
      <c r="AR1619" s="8"/>
      <c r="AS1619" s="8"/>
      <c r="AT1619" s="8"/>
      <c r="AU1619" s="8"/>
      <c r="AV1619" s="8"/>
      <c r="AW1619" s="8"/>
      <c r="AX1619" s="8"/>
      <c r="AY1619" s="8"/>
      <c r="AZ1619" s="10"/>
    </row>
    <row r="1620" spans="2:52" x14ac:dyDescent="0.35">
      <c r="B1620" s="7"/>
      <c r="C1620" s="8"/>
      <c r="D1620" s="8"/>
      <c r="E1620" s="8"/>
      <c r="F1620" s="8"/>
      <c r="G1620" s="8"/>
      <c r="H1620" s="8"/>
      <c r="I1620" s="8"/>
      <c r="J1620" s="8"/>
      <c r="K1620" s="8"/>
      <c r="L1620" s="8"/>
      <c r="M1620" s="8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  <c r="AD1620" s="8"/>
      <c r="AE1620" s="8"/>
      <c r="AF1620" s="8"/>
      <c r="AG1620" s="8"/>
      <c r="AH1620" s="8"/>
      <c r="AI1620" s="8"/>
      <c r="AJ1620" s="8"/>
      <c r="AK1620" s="8"/>
      <c r="AL1620" s="8"/>
      <c r="AM1620" s="8"/>
      <c r="AN1620" s="8"/>
      <c r="AO1620" s="8"/>
      <c r="AP1620" s="8"/>
      <c r="AQ1620" s="8"/>
      <c r="AR1620" s="8"/>
      <c r="AS1620" s="8"/>
      <c r="AT1620" s="8"/>
      <c r="AU1620" s="8"/>
      <c r="AV1620" s="8"/>
      <c r="AW1620" s="8"/>
      <c r="AX1620" s="8"/>
      <c r="AY1620" s="8"/>
      <c r="AZ1620" s="10"/>
    </row>
    <row r="1621" spans="2:52" x14ac:dyDescent="0.35">
      <c r="B1621" s="7"/>
      <c r="C1621" s="8"/>
      <c r="D1621" s="8"/>
      <c r="E1621" s="8"/>
      <c r="F1621" s="8"/>
      <c r="G1621" s="8"/>
      <c r="H1621" s="8"/>
      <c r="I1621" s="8"/>
      <c r="J1621" s="8"/>
      <c r="K1621" s="8"/>
      <c r="L1621" s="8"/>
      <c r="M1621" s="8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  <c r="AD1621" s="8"/>
      <c r="AE1621" s="8"/>
      <c r="AF1621" s="8"/>
      <c r="AG1621" s="8"/>
      <c r="AH1621" s="8"/>
      <c r="AI1621" s="8"/>
      <c r="AJ1621" s="8"/>
      <c r="AK1621" s="8"/>
      <c r="AL1621" s="8"/>
      <c r="AM1621" s="8"/>
      <c r="AN1621" s="8"/>
      <c r="AO1621" s="8"/>
      <c r="AP1621" s="8"/>
      <c r="AQ1621" s="8"/>
      <c r="AR1621" s="8"/>
      <c r="AS1621" s="8"/>
      <c r="AT1621" s="8"/>
      <c r="AU1621" s="8"/>
      <c r="AV1621" s="8"/>
      <c r="AW1621" s="8"/>
      <c r="AX1621" s="8"/>
      <c r="AY1621" s="8"/>
      <c r="AZ1621" s="10"/>
    </row>
    <row r="1622" spans="2:52" x14ac:dyDescent="0.35">
      <c r="B1622" s="7"/>
      <c r="C1622" s="8"/>
      <c r="D1622" s="8"/>
      <c r="E1622" s="8"/>
      <c r="F1622" s="8"/>
      <c r="G1622" s="8"/>
      <c r="H1622" s="8"/>
      <c r="I1622" s="8"/>
      <c r="J1622" s="8"/>
      <c r="K1622" s="8"/>
      <c r="L1622" s="8"/>
      <c r="M1622" s="8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8"/>
      <c r="AE1622" s="8"/>
      <c r="AF1622" s="8"/>
      <c r="AG1622" s="8"/>
      <c r="AH1622" s="8"/>
      <c r="AI1622" s="8"/>
      <c r="AJ1622" s="8"/>
      <c r="AK1622" s="8"/>
      <c r="AL1622" s="8"/>
      <c r="AM1622" s="8"/>
      <c r="AN1622" s="8"/>
      <c r="AO1622" s="8"/>
      <c r="AP1622" s="8"/>
      <c r="AQ1622" s="8"/>
      <c r="AR1622" s="8"/>
      <c r="AS1622" s="8"/>
      <c r="AT1622" s="8"/>
      <c r="AU1622" s="8"/>
      <c r="AV1622" s="8"/>
      <c r="AW1622" s="8"/>
      <c r="AX1622" s="8"/>
      <c r="AY1622" s="8"/>
      <c r="AZ1622" s="10"/>
    </row>
    <row r="1623" spans="2:52" x14ac:dyDescent="0.35">
      <c r="B1623" s="7"/>
      <c r="C1623" s="8"/>
      <c r="D1623" s="8"/>
      <c r="E1623" s="8"/>
      <c r="F1623" s="8"/>
      <c r="G1623" s="8"/>
      <c r="H1623" s="8"/>
      <c r="I1623" s="8"/>
      <c r="J1623" s="8"/>
      <c r="K1623" s="8"/>
      <c r="L1623" s="8"/>
      <c r="M1623" s="8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8"/>
      <c r="AE1623" s="8"/>
      <c r="AF1623" s="8"/>
      <c r="AG1623" s="8"/>
      <c r="AH1623" s="8"/>
      <c r="AI1623" s="8"/>
      <c r="AJ1623" s="8"/>
      <c r="AK1623" s="8"/>
      <c r="AL1623" s="8"/>
      <c r="AM1623" s="8"/>
      <c r="AN1623" s="8"/>
      <c r="AO1623" s="8"/>
      <c r="AP1623" s="8"/>
      <c r="AQ1623" s="8"/>
      <c r="AR1623" s="8"/>
      <c r="AS1623" s="8"/>
      <c r="AT1623" s="8"/>
      <c r="AU1623" s="8"/>
      <c r="AV1623" s="8"/>
      <c r="AW1623" s="8"/>
      <c r="AX1623" s="8"/>
      <c r="AY1623" s="8"/>
      <c r="AZ1623" s="10"/>
    </row>
    <row r="1624" spans="2:52" x14ac:dyDescent="0.35">
      <c r="B1624" s="7"/>
      <c r="C1624" s="8"/>
      <c r="D1624" s="8"/>
      <c r="E1624" s="8"/>
      <c r="F1624" s="8"/>
      <c r="G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8"/>
      <c r="AE1624" s="8"/>
      <c r="AF1624" s="8"/>
      <c r="AG1624" s="8"/>
      <c r="AH1624" s="8"/>
      <c r="AI1624" s="8"/>
      <c r="AJ1624" s="8"/>
      <c r="AK1624" s="8"/>
      <c r="AL1624" s="8"/>
      <c r="AM1624" s="8"/>
      <c r="AN1624" s="8"/>
      <c r="AO1624" s="8"/>
      <c r="AP1624" s="8"/>
      <c r="AQ1624" s="8"/>
      <c r="AR1624" s="8"/>
      <c r="AS1624" s="8"/>
      <c r="AT1624" s="8"/>
      <c r="AU1624" s="8"/>
      <c r="AV1624" s="8"/>
      <c r="AW1624" s="8"/>
      <c r="AX1624" s="8"/>
      <c r="AY1624" s="8"/>
      <c r="AZ1624" s="10"/>
    </row>
    <row r="1625" spans="2:52" x14ac:dyDescent="0.35">
      <c r="B1625" s="7"/>
      <c r="C1625" s="8"/>
      <c r="D1625" s="8"/>
      <c r="E1625" s="8"/>
      <c r="F1625" s="8"/>
      <c r="G1625" s="8"/>
      <c r="H1625" s="8"/>
      <c r="I1625" s="8"/>
      <c r="J1625" s="8"/>
      <c r="K1625" s="8"/>
      <c r="L1625" s="8"/>
      <c r="M1625" s="8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  <c r="AD1625" s="8"/>
      <c r="AE1625" s="8"/>
      <c r="AF1625" s="8"/>
      <c r="AG1625" s="8"/>
      <c r="AH1625" s="8"/>
      <c r="AI1625" s="8"/>
      <c r="AJ1625" s="8"/>
      <c r="AK1625" s="8"/>
      <c r="AL1625" s="8"/>
      <c r="AM1625" s="8"/>
      <c r="AN1625" s="8"/>
      <c r="AO1625" s="8"/>
      <c r="AP1625" s="8"/>
      <c r="AQ1625" s="8"/>
      <c r="AR1625" s="8"/>
      <c r="AS1625" s="8"/>
      <c r="AT1625" s="8"/>
      <c r="AU1625" s="8"/>
      <c r="AV1625" s="8"/>
      <c r="AW1625" s="8"/>
      <c r="AX1625" s="8"/>
      <c r="AY1625" s="8"/>
      <c r="AZ1625" s="10"/>
    </row>
    <row r="1626" spans="2:52" x14ac:dyDescent="0.35">
      <c r="B1626" s="7"/>
      <c r="C1626" s="8"/>
      <c r="D1626" s="8"/>
      <c r="E1626" s="8"/>
      <c r="F1626" s="8"/>
      <c r="G1626" s="8"/>
      <c r="H1626" s="8"/>
      <c r="I1626" s="8"/>
      <c r="J1626" s="8"/>
      <c r="K1626" s="8"/>
      <c r="L1626" s="8"/>
      <c r="M1626" s="8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  <c r="AD1626" s="8"/>
      <c r="AE1626" s="8"/>
      <c r="AF1626" s="8"/>
      <c r="AG1626" s="8"/>
      <c r="AH1626" s="8"/>
      <c r="AI1626" s="8"/>
      <c r="AJ1626" s="8"/>
      <c r="AK1626" s="8"/>
      <c r="AL1626" s="8"/>
      <c r="AM1626" s="8"/>
      <c r="AN1626" s="8"/>
      <c r="AO1626" s="8"/>
      <c r="AP1626" s="8"/>
      <c r="AQ1626" s="8"/>
      <c r="AR1626" s="8"/>
      <c r="AS1626" s="8"/>
      <c r="AT1626" s="8"/>
      <c r="AU1626" s="8"/>
      <c r="AV1626" s="8"/>
      <c r="AW1626" s="8"/>
      <c r="AX1626" s="8"/>
      <c r="AY1626" s="8"/>
      <c r="AZ1626" s="10"/>
    </row>
    <row r="1627" spans="2:52" x14ac:dyDescent="0.35">
      <c r="B1627" s="7"/>
      <c r="C1627" s="8"/>
      <c r="D1627" s="8"/>
      <c r="E1627" s="8"/>
      <c r="F1627" s="8"/>
      <c r="G1627" s="8"/>
      <c r="H1627" s="8"/>
      <c r="I1627" s="8"/>
      <c r="J1627" s="8"/>
      <c r="K1627" s="8"/>
      <c r="L1627" s="8"/>
      <c r="M1627" s="8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  <c r="AD1627" s="8"/>
      <c r="AE1627" s="8"/>
      <c r="AF1627" s="8"/>
      <c r="AG1627" s="8"/>
      <c r="AH1627" s="8"/>
      <c r="AI1627" s="8"/>
      <c r="AJ1627" s="8"/>
      <c r="AK1627" s="8"/>
      <c r="AL1627" s="8"/>
      <c r="AM1627" s="8"/>
      <c r="AN1627" s="8"/>
      <c r="AO1627" s="8"/>
      <c r="AP1627" s="8"/>
      <c r="AQ1627" s="8"/>
      <c r="AR1627" s="8"/>
      <c r="AS1627" s="8"/>
      <c r="AT1627" s="8"/>
      <c r="AU1627" s="8"/>
      <c r="AV1627" s="8"/>
      <c r="AW1627" s="8"/>
      <c r="AX1627" s="8"/>
      <c r="AY1627" s="8"/>
      <c r="AZ1627" s="10"/>
    </row>
    <row r="1628" spans="2:52" x14ac:dyDescent="0.35">
      <c r="B1628" s="7"/>
      <c r="C1628" s="8"/>
      <c r="D1628" s="8"/>
      <c r="E1628" s="8"/>
      <c r="F1628" s="8"/>
      <c r="G1628" s="8"/>
      <c r="H1628" s="8"/>
      <c r="I1628" s="8"/>
      <c r="J1628" s="8"/>
      <c r="K1628" s="8"/>
      <c r="L1628" s="8"/>
      <c r="M1628" s="8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8"/>
      <c r="AE1628" s="8"/>
      <c r="AF1628" s="8"/>
      <c r="AG1628" s="8"/>
      <c r="AH1628" s="8"/>
      <c r="AI1628" s="8"/>
      <c r="AJ1628" s="8"/>
      <c r="AK1628" s="8"/>
      <c r="AL1628" s="8"/>
      <c r="AM1628" s="8"/>
      <c r="AN1628" s="8"/>
      <c r="AO1628" s="8"/>
      <c r="AP1628" s="8"/>
      <c r="AQ1628" s="8"/>
      <c r="AR1628" s="8"/>
      <c r="AS1628" s="8"/>
      <c r="AT1628" s="8"/>
      <c r="AU1628" s="8"/>
      <c r="AV1628" s="8"/>
      <c r="AW1628" s="8"/>
      <c r="AX1628" s="8"/>
      <c r="AY1628" s="8"/>
      <c r="AZ1628" s="10"/>
    </row>
    <row r="1629" spans="2:52" x14ac:dyDescent="0.35">
      <c r="B1629" s="7"/>
      <c r="C1629" s="8"/>
      <c r="D1629" s="8"/>
      <c r="E1629" s="8"/>
      <c r="F1629" s="8"/>
      <c r="G1629" s="8"/>
      <c r="H1629" s="8"/>
      <c r="I1629" s="8"/>
      <c r="J1629" s="8"/>
      <c r="K1629" s="8"/>
      <c r="L1629" s="8"/>
      <c r="M1629" s="8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8"/>
      <c r="AE1629" s="8"/>
      <c r="AF1629" s="8"/>
      <c r="AG1629" s="8"/>
      <c r="AH1629" s="8"/>
      <c r="AI1629" s="8"/>
      <c r="AJ1629" s="8"/>
      <c r="AK1629" s="8"/>
      <c r="AL1629" s="8"/>
      <c r="AM1629" s="8"/>
      <c r="AN1629" s="8"/>
      <c r="AO1629" s="8"/>
      <c r="AP1629" s="8"/>
      <c r="AQ1629" s="8"/>
      <c r="AR1629" s="8"/>
      <c r="AS1629" s="8"/>
      <c r="AT1629" s="8"/>
      <c r="AU1629" s="8"/>
      <c r="AV1629" s="8"/>
      <c r="AW1629" s="8"/>
      <c r="AX1629" s="8"/>
      <c r="AY1629" s="8"/>
      <c r="AZ1629" s="10"/>
    </row>
    <row r="1630" spans="2:52" x14ac:dyDescent="0.35">
      <c r="B1630" s="7"/>
      <c r="C1630" s="8"/>
      <c r="D1630" s="8"/>
      <c r="E1630" s="8"/>
      <c r="F1630" s="8"/>
      <c r="G1630" s="8"/>
      <c r="H1630" s="8"/>
      <c r="I1630" s="8"/>
      <c r="J1630" s="8"/>
      <c r="K1630" s="8"/>
      <c r="L1630" s="8"/>
      <c r="M1630" s="8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  <c r="AD1630" s="8"/>
      <c r="AE1630" s="8"/>
      <c r="AF1630" s="8"/>
      <c r="AG1630" s="8"/>
      <c r="AH1630" s="8"/>
      <c r="AI1630" s="8"/>
      <c r="AJ1630" s="8"/>
      <c r="AK1630" s="8"/>
      <c r="AL1630" s="8"/>
      <c r="AM1630" s="8"/>
      <c r="AN1630" s="8"/>
      <c r="AO1630" s="8"/>
      <c r="AP1630" s="8"/>
      <c r="AQ1630" s="8"/>
      <c r="AR1630" s="8"/>
      <c r="AS1630" s="8"/>
      <c r="AT1630" s="8"/>
      <c r="AU1630" s="8"/>
      <c r="AV1630" s="8"/>
      <c r="AW1630" s="8"/>
      <c r="AX1630" s="8"/>
      <c r="AY1630" s="8"/>
      <c r="AZ1630" s="10"/>
    </row>
    <row r="1631" spans="2:52" x14ac:dyDescent="0.35">
      <c r="B1631" s="7"/>
      <c r="C1631" s="8"/>
      <c r="D1631" s="8"/>
      <c r="E1631" s="8"/>
      <c r="F1631" s="8"/>
      <c r="G1631" s="8"/>
      <c r="H1631" s="8"/>
      <c r="I1631" s="8"/>
      <c r="J1631" s="8"/>
      <c r="K1631" s="8"/>
      <c r="L1631" s="8"/>
      <c r="M1631" s="8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  <c r="AD1631" s="8"/>
      <c r="AE1631" s="8"/>
      <c r="AF1631" s="8"/>
      <c r="AG1631" s="8"/>
      <c r="AH1631" s="8"/>
      <c r="AI1631" s="8"/>
      <c r="AJ1631" s="8"/>
      <c r="AK1631" s="8"/>
      <c r="AL1631" s="8"/>
      <c r="AM1631" s="8"/>
      <c r="AN1631" s="8"/>
      <c r="AO1631" s="8"/>
      <c r="AP1631" s="8"/>
      <c r="AQ1631" s="8"/>
      <c r="AR1631" s="8"/>
      <c r="AS1631" s="8"/>
      <c r="AT1631" s="8"/>
      <c r="AU1631" s="8"/>
      <c r="AV1631" s="8"/>
      <c r="AW1631" s="8"/>
      <c r="AX1631" s="8"/>
      <c r="AY1631" s="8"/>
      <c r="AZ1631" s="10"/>
    </row>
    <row r="1632" spans="2:52" x14ac:dyDescent="0.35">
      <c r="B1632" s="7"/>
      <c r="C1632" s="8"/>
      <c r="D1632" s="8"/>
      <c r="E1632" s="8"/>
      <c r="F1632" s="8"/>
      <c r="G1632" s="8"/>
      <c r="H1632" s="8"/>
      <c r="I1632" s="8"/>
      <c r="J1632" s="8"/>
      <c r="K1632" s="8"/>
      <c r="L1632" s="8"/>
      <c r="M1632" s="8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  <c r="AD1632" s="8"/>
      <c r="AE1632" s="8"/>
      <c r="AF1632" s="8"/>
      <c r="AG1632" s="8"/>
      <c r="AH1632" s="8"/>
      <c r="AI1632" s="8"/>
      <c r="AJ1632" s="8"/>
      <c r="AK1632" s="8"/>
      <c r="AL1632" s="8"/>
      <c r="AM1632" s="8"/>
      <c r="AN1632" s="8"/>
      <c r="AO1632" s="8"/>
      <c r="AP1632" s="8"/>
      <c r="AQ1632" s="8"/>
      <c r="AR1632" s="8"/>
      <c r="AS1632" s="8"/>
      <c r="AT1632" s="8"/>
      <c r="AU1632" s="8"/>
      <c r="AV1632" s="8"/>
      <c r="AW1632" s="8"/>
      <c r="AX1632" s="8"/>
      <c r="AY1632" s="8"/>
      <c r="AZ1632" s="10"/>
    </row>
    <row r="1633" spans="2:52" x14ac:dyDescent="0.35">
      <c r="B1633" s="7"/>
      <c r="C1633" s="8"/>
      <c r="D1633" s="8"/>
      <c r="E1633" s="8"/>
      <c r="F1633" s="8"/>
      <c r="G1633" s="8"/>
      <c r="H1633" s="8"/>
      <c r="I1633" s="8"/>
      <c r="J1633" s="8"/>
      <c r="K1633" s="8"/>
      <c r="L1633" s="8"/>
      <c r="M1633" s="8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  <c r="AD1633" s="8"/>
      <c r="AE1633" s="8"/>
      <c r="AF1633" s="8"/>
      <c r="AG1633" s="8"/>
      <c r="AH1633" s="8"/>
      <c r="AI1633" s="8"/>
      <c r="AJ1633" s="8"/>
      <c r="AK1633" s="8"/>
      <c r="AL1633" s="8"/>
      <c r="AM1633" s="8"/>
      <c r="AN1633" s="8"/>
      <c r="AO1633" s="8"/>
      <c r="AP1633" s="8"/>
      <c r="AQ1633" s="8"/>
      <c r="AR1633" s="8"/>
      <c r="AS1633" s="8"/>
      <c r="AT1633" s="8"/>
      <c r="AU1633" s="8"/>
      <c r="AV1633" s="8"/>
      <c r="AW1633" s="8"/>
      <c r="AX1633" s="8"/>
      <c r="AY1633" s="8"/>
      <c r="AZ1633" s="10"/>
    </row>
    <row r="1634" spans="2:52" x14ac:dyDescent="0.35">
      <c r="B1634" s="7"/>
      <c r="C1634" s="8"/>
      <c r="D1634" s="8"/>
      <c r="E1634" s="8"/>
      <c r="F1634" s="8"/>
      <c r="G1634" s="8"/>
      <c r="H1634" s="8"/>
      <c r="I1634" s="8"/>
      <c r="J1634" s="8"/>
      <c r="K1634" s="8"/>
      <c r="L1634" s="8"/>
      <c r="M1634" s="8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  <c r="AD1634" s="8"/>
      <c r="AE1634" s="8"/>
      <c r="AF1634" s="8"/>
      <c r="AG1634" s="8"/>
      <c r="AH1634" s="8"/>
      <c r="AI1634" s="8"/>
      <c r="AJ1634" s="8"/>
      <c r="AK1634" s="8"/>
      <c r="AL1634" s="8"/>
      <c r="AM1634" s="8"/>
      <c r="AN1634" s="8"/>
      <c r="AO1634" s="8"/>
      <c r="AP1634" s="8"/>
      <c r="AQ1634" s="8"/>
      <c r="AR1634" s="8"/>
      <c r="AS1634" s="8"/>
      <c r="AT1634" s="8"/>
      <c r="AU1634" s="8"/>
      <c r="AV1634" s="8"/>
      <c r="AW1634" s="8"/>
      <c r="AX1634" s="8"/>
      <c r="AY1634" s="8"/>
      <c r="AZ1634" s="10"/>
    </row>
    <row r="1635" spans="2:52" x14ac:dyDescent="0.35">
      <c r="B1635" s="7"/>
      <c r="C1635" s="8"/>
      <c r="D1635" s="8"/>
      <c r="E1635" s="8"/>
      <c r="F1635" s="8"/>
      <c r="G1635" s="8"/>
      <c r="H1635" s="8"/>
      <c r="I1635" s="8"/>
      <c r="J1635" s="8"/>
      <c r="K1635" s="8"/>
      <c r="L1635" s="8"/>
      <c r="M1635" s="8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  <c r="AD1635" s="8"/>
      <c r="AE1635" s="8"/>
      <c r="AF1635" s="8"/>
      <c r="AG1635" s="8"/>
      <c r="AH1635" s="8"/>
      <c r="AI1635" s="8"/>
      <c r="AJ1635" s="8"/>
      <c r="AK1635" s="8"/>
      <c r="AL1635" s="8"/>
      <c r="AM1635" s="8"/>
      <c r="AN1635" s="8"/>
      <c r="AO1635" s="8"/>
      <c r="AP1635" s="8"/>
      <c r="AQ1635" s="8"/>
      <c r="AR1635" s="8"/>
      <c r="AS1635" s="8"/>
      <c r="AT1635" s="8"/>
      <c r="AU1635" s="8"/>
      <c r="AV1635" s="8"/>
      <c r="AW1635" s="8"/>
      <c r="AX1635" s="8"/>
      <c r="AY1635" s="8"/>
      <c r="AZ1635" s="10"/>
    </row>
    <row r="1636" spans="2:52" x14ac:dyDescent="0.35">
      <c r="B1636" s="7"/>
      <c r="C1636" s="8"/>
      <c r="D1636" s="8"/>
      <c r="E1636" s="8"/>
      <c r="F1636" s="8"/>
      <c r="G1636" s="8"/>
      <c r="H1636" s="8"/>
      <c r="I1636" s="8"/>
      <c r="J1636" s="8"/>
      <c r="K1636" s="8"/>
      <c r="L1636" s="8"/>
      <c r="M1636" s="8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  <c r="AD1636" s="8"/>
      <c r="AE1636" s="8"/>
      <c r="AF1636" s="8"/>
      <c r="AG1636" s="8"/>
      <c r="AH1636" s="8"/>
      <c r="AI1636" s="8"/>
      <c r="AJ1636" s="8"/>
      <c r="AK1636" s="8"/>
      <c r="AL1636" s="8"/>
      <c r="AM1636" s="8"/>
      <c r="AN1636" s="8"/>
      <c r="AO1636" s="8"/>
      <c r="AP1636" s="8"/>
      <c r="AQ1636" s="8"/>
      <c r="AR1636" s="8"/>
      <c r="AS1636" s="8"/>
      <c r="AT1636" s="8"/>
      <c r="AU1636" s="8"/>
      <c r="AV1636" s="8"/>
      <c r="AW1636" s="8"/>
      <c r="AX1636" s="8"/>
      <c r="AY1636" s="8"/>
      <c r="AZ1636" s="10"/>
    </row>
    <row r="1637" spans="2:52" x14ac:dyDescent="0.35">
      <c r="B1637" s="7"/>
      <c r="C1637" s="8"/>
      <c r="D1637" s="8"/>
      <c r="E1637" s="8"/>
      <c r="F1637" s="8"/>
      <c r="G1637" s="8"/>
      <c r="H1637" s="8"/>
      <c r="I1637" s="8"/>
      <c r="J1637" s="8"/>
      <c r="K1637" s="8"/>
      <c r="L1637" s="8"/>
      <c r="M1637" s="8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  <c r="AD1637" s="8"/>
      <c r="AE1637" s="8"/>
      <c r="AF1637" s="8"/>
      <c r="AG1637" s="8"/>
      <c r="AH1637" s="8"/>
      <c r="AI1637" s="8"/>
      <c r="AJ1637" s="8"/>
      <c r="AK1637" s="8"/>
      <c r="AL1637" s="8"/>
      <c r="AM1637" s="8"/>
      <c r="AN1637" s="8"/>
      <c r="AO1637" s="8"/>
      <c r="AP1637" s="8"/>
      <c r="AQ1637" s="8"/>
      <c r="AR1637" s="8"/>
      <c r="AS1637" s="8"/>
      <c r="AT1637" s="8"/>
      <c r="AU1637" s="8"/>
      <c r="AV1637" s="8"/>
      <c r="AW1637" s="8"/>
      <c r="AX1637" s="8"/>
      <c r="AY1637" s="8"/>
      <c r="AZ1637" s="10"/>
    </row>
    <row r="1638" spans="2:52" x14ac:dyDescent="0.35">
      <c r="B1638" s="7"/>
      <c r="C1638" s="8"/>
      <c r="D1638" s="8"/>
      <c r="E1638" s="8"/>
      <c r="F1638" s="8"/>
      <c r="G1638" s="8"/>
      <c r="H1638" s="8"/>
      <c r="I1638" s="8"/>
      <c r="J1638" s="8"/>
      <c r="K1638" s="8"/>
      <c r="L1638" s="8"/>
      <c r="M1638" s="8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  <c r="AD1638" s="8"/>
      <c r="AE1638" s="8"/>
      <c r="AF1638" s="8"/>
      <c r="AG1638" s="8"/>
      <c r="AH1638" s="8"/>
      <c r="AI1638" s="8"/>
      <c r="AJ1638" s="8"/>
      <c r="AK1638" s="8"/>
      <c r="AL1638" s="8"/>
      <c r="AM1638" s="8"/>
      <c r="AN1638" s="8"/>
      <c r="AO1638" s="8"/>
      <c r="AP1638" s="8"/>
      <c r="AQ1638" s="8"/>
      <c r="AR1638" s="8"/>
      <c r="AS1638" s="8"/>
      <c r="AT1638" s="8"/>
      <c r="AU1638" s="8"/>
      <c r="AV1638" s="8"/>
      <c r="AW1638" s="8"/>
      <c r="AX1638" s="8"/>
      <c r="AY1638" s="8"/>
      <c r="AZ1638" s="10"/>
    </row>
    <row r="1639" spans="2:52" x14ac:dyDescent="0.35">
      <c r="B1639" s="7"/>
      <c r="C1639" s="8"/>
      <c r="D1639" s="8"/>
      <c r="E1639" s="8"/>
      <c r="F1639" s="8"/>
      <c r="G1639" s="8"/>
      <c r="H1639" s="8"/>
      <c r="I1639" s="8"/>
      <c r="J1639" s="8"/>
      <c r="K1639" s="8"/>
      <c r="L1639" s="8"/>
      <c r="M1639" s="8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  <c r="AD1639" s="8"/>
      <c r="AE1639" s="8"/>
      <c r="AF1639" s="8"/>
      <c r="AG1639" s="8"/>
      <c r="AH1639" s="8"/>
      <c r="AI1639" s="8"/>
      <c r="AJ1639" s="8"/>
      <c r="AK1639" s="8"/>
      <c r="AL1639" s="8"/>
      <c r="AM1639" s="8"/>
      <c r="AN1639" s="8"/>
      <c r="AO1639" s="8"/>
      <c r="AP1639" s="8"/>
      <c r="AQ1639" s="8"/>
      <c r="AR1639" s="8"/>
      <c r="AS1639" s="8"/>
      <c r="AT1639" s="8"/>
      <c r="AU1639" s="8"/>
      <c r="AV1639" s="8"/>
      <c r="AW1639" s="8"/>
      <c r="AX1639" s="8"/>
      <c r="AY1639" s="8"/>
      <c r="AZ1639" s="10"/>
    </row>
    <row r="1640" spans="2:52" x14ac:dyDescent="0.35">
      <c r="B1640" s="7"/>
      <c r="C1640" s="8"/>
      <c r="D1640" s="8"/>
      <c r="E1640" s="8"/>
      <c r="F1640" s="8"/>
      <c r="G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  <c r="AD1640" s="8"/>
      <c r="AE1640" s="8"/>
      <c r="AF1640" s="8"/>
      <c r="AG1640" s="8"/>
      <c r="AH1640" s="8"/>
      <c r="AI1640" s="8"/>
      <c r="AJ1640" s="8"/>
      <c r="AK1640" s="8"/>
      <c r="AL1640" s="8"/>
      <c r="AM1640" s="8"/>
      <c r="AN1640" s="8"/>
      <c r="AO1640" s="8"/>
      <c r="AP1640" s="8"/>
      <c r="AQ1640" s="8"/>
      <c r="AR1640" s="8"/>
      <c r="AS1640" s="8"/>
      <c r="AT1640" s="8"/>
      <c r="AU1640" s="8"/>
      <c r="AV1640" s="8"/>
      <c r="AW1640" s="8"/>
      <c r="AX1640" s="8"/>
      <c r="AY1640" s="8"/>
      <c r="AZ1640" s="10"/>
    </row>
    <row r="1641" spans="2:52" x14ac:dyDescent="0.35">
      <c r="B1641" s="7"/>
      <c r="C1641" s="8"/>
      <c r="D1641" s="8"/>
      <c r="E1641" s="8"/>
      <c r="F1641" s="8"/>
      <c r="G1641" s="8"/>
      <c r="H1641" s="8"/>
      <c r="I1641" s="8"/>
      <c r="J1641" s="8"/>
      <c r="K1641" s="8"/>
      <c r="L1641" s="8"/>
      <c r="M1641" s="8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  <c r="AD1641" s="8"/>
      <c r="AE1641" s="8"/>
      <c r="AF1641" s="8"/>
      <c r="AG1641" s="8"/>
      <c r="AH1641" s="8"/>
      <c r="AI1641" s="8"/>
      <c r="AJ1641" s="8"/>
      <c r="AK1641" s="8"/>
      <c r="AL1641" s="8"/>
      <c r="AM1641" s="8"/>
      <c r="AN1641" s="8"/>
      <c r="AO1641" s="8"/>
      <c r="AP1641" s="8"/>
      <c r="AQ1641" s="8"/>
      <c r="AR1641" s="8"/>
      <c r="AS1641" s="8"/>
      <c r="AT1641" s="8"/>
      <c r="AU1641" s="8"/>
      <c r="AV1641" s="8"/>
      <c r="AW1641" s="8"/>
      <c r="AX1641" s="8"/>
      <c r="AY1641" s="8"/>
      <c r="AZ1641" s="10"/>
    </row>
    <row r="1642" spans="2:52" x14ac:dyDescent="0.35">
      <c r="B1642" s="7"/>
      <c r="C1642" s="8"/>
      <c r="D1642" s="8"/>
      <c r="E1642" s="8"/>
      <c r="F1642" s="8"/>
      <c r="G1642" s="8"/>
      <c r="H1642" s="8"/>
      <c r="I1642" s="8"/>
      <c r="J1642" s="8"/>
      <c r="K1642" s="8"/>
      <c r="L1642" s="8"/>
      <c r="M1642" s="8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8"/>
      <c r="AE1642" s="8"/>
      <c r="AF1642" s="8"/>
      <c r="AG1642" s="8"/>
      <c r="AH1642" s="8"/>
      <c r="AI1642" s="8"/>
      <c r="AJ1642" s="8"/>
      <c r="AK1642" s="8"/>
      <c r="AL1642" s="8"/>
      <c r="AM1642" s="8"/>
      <c r="AN1642" s="8"/>
      <c r="AO1642" s="8"/>
      <c r="AP1642" s="8"/>
      <c r="AQ1642" s="8"/>
      <c r="AR1642" s="8"/>
      <c r="AS1642" s="8"/>
      <c r="AT1642" s="8"/>
      <c r="AU1642" s="8"/>
      <c r="AV1642" s="8"/>
      <c r="AW1642" s="8"/>
      <c r="AX1642" s="8"/>
      <c r="AY1642" s="8"/>
      <c r="AZ1642" s="10"/>
    </row>
    <row r="1643" spans="2:52" x14ac:dyDescent="0.35">
      <c r="B1643" s="7"/>
      <c r="C1643" s="8"/>
      <c r="D1643" s="8"/>
      <c r="E1643" s="8"/>
      <c r="F1643" s="8"/>
      <c r="G1643" s="8"/>
      <c r="H1643" s="8"/>
      <c r="I1643" s="8"/>
      <c r="J1643" s="8"/>
      <c r="K1643" s="8"/>
      <c r="L1643" s="8"/>
      <c r="M1643" s="8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  <c r="AD1643" s="8"/>
      <c r="AE1643" s="8"/>
      <c r="AF1643" s="8"/>
      <c r="AG1643" s="8"/>
      <c r="AH1643" s="8"/>
      <c r="AI1643" s="8"/>
      <c r="AJ1643" s="8"/>
      <c r="AK1643" s="8"/>
      <c r="AL1643" s="8"/>
      <c r="AM1643" s="8"/>
      <c r="AN1643" s="8"/>
      <c r="AO1643" s="8"/>
      <c r="AP1643" s="8"/>
      <c r="AQ1643" s="8"/>
      <c r="AR1643" s="8"/>
      <c r="AS1643" s="8"/>
      <c r="AT1643" s="8"/>
      <c r="AU1643" s="8"/>
      <c r="AV1643" s="8"/>
      <c r="AW1643" s="8"/>
      <c r="AX1643" s="8"/>
      <c r="AY1643" s="8"/>
      <c r="AZ1643" s="10"/>
    </row>
    <row r="1644" spans="2:52" x14ac:dyDescent="0.35">
      <c r="B1644" s="7"/>
      <c r="C1644" s="8"/>
      <c r="D1644" s="8"/>
      <c r="E1644" s="8"/>
      <c r="F1644" s="8"/>
      <c r="G1644" s="8"/>
      <c r="H1644" s="8"/>
      <c r="I1644" s="8"/>
      <c r="J1644" s="8"/>
      <c r="K1644" s="8"/>
      <c r="L1644" s="8"/>
      <c r="M1644" s="8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  <c r="AD1644" s="8"/>
      <c r="AE1644" s="8"/>
      <c r="AF1644" s="8"/>
      <c r="AG1644" s="8"/>
      <c r="AH1644" s="8"/>
      <c r="AI1644" s="8"/>
      <c r="AJ1644" s="8"/>
      <c r="AK1644" s="8"/>
      <c r="AL1644" s="8"/>
      <c r="AM1644" s="8"/>
      <c r="AN1644" s="8"/>
      <c r="AO1644" s="8"/>
      <c r="AP1644" s="8"/>
      <c r="AQ1644" s="8"/>
      <c r="AR1644" s="8"/>
      <c r="AS1644" s="8"/>
      <c r="AT1644" s="8"/>
      <c r="AU1644" s="8"/>
      <c r="AV1644" s="8"/>
      <c r="AW1644" s="8"/>
      <c r="AX1644" s="8"/>
      <c r="AY1644" s="8"/>
      <c r="AZ1644" s="10"/>
    </row>
    <row r="1645" spans="2:52" x14ac:dyDescent="0.35">
      <c r="B1645" s="7"/>
      <c r="C1645" s="8"/>
      <c r="D1645" s="8"/>
      <c r="E1645" s="8"/>
      <c r="F1645" s="8"/>
      <c r="G1645" s="8"/>
      <c r="H1645" s="8"/>
      <c r="I1645" s="8"/>
      <c r="J1645" s="8"/>
      <c r="K1645" s="8"/>
      <c r="L1645" s="8"/>
      <c r="M1645" s="8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  <c r="AG1645" s="8"/>
      <c r="AH1645" s="8"/>
      <c r="AI1645" s="8"/>
      <c r="AJ1645" s="8"/>
      <c r="AK1645" s="8"/>
      <c r="AL1645" s="8"/>
      <c r="AM1645" s="8"/>
      <c r="AN1645" s="8"/>
      <c r="AO1645" s="8"/>
      <c r="AP1645" s="8"/>
      <c r="AQ1645" s="8"/>
      <c r="AR1645" s="8"/>
      <c r="AS1645" s="8"/>
      <c r="AT1645" s="8"/>
      <c r="AU1645" s="8"/>
      <c r="AV1645" s="8"/>
      <c r="AW1645" s="8"/>
      <c r="AX1645" s="8"/>
      <c r="AY1645" s="8"/>
      <c r="AZ1645" s="10"/>
    </row>
    <row r="1646" spans="2:52" x14ac:dyDescent="0.35">
      <c r="B1646" s="7"/>
      <c r="C1646" s="8"/>
      <c r="D1646" s="8"/>
      <c r="E1646" s="8"/>
      <c r="F1646" s="8"/>
      <c r="G1646" s="8"/>
      <c r="H1646" s="8"/>
      <c r="I1646" s="8"/>
      <c r="J1646" s="8"/>
      <c r="K1646" s="8"/>
      <c r="L1646" s="8"/>
      <c r="M1646" s="8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  <c r="AG1646" s="8"/>
      <c r="AH1646" s="8"/>
      <c r="AI1646" s="8"/>
      <c r="AJ1646" s="8"/>
      <c r="AK1646" s="8"/>
      <c r="AL1646" s="8"/>
      <c r="AM1646" s="8"/>
      <c r="AN1646" s="8"/>
      <c r="AO1646" s="8"/>
      <c r="AP1646" s="8"/>
      <c r="AQ1646" s="8"/>
      <c r="AR1646" s="8"/>
      <c r="AS1646" s="8"/>
      <c r="AT1646" s="8"/>
      <c r="AU1646" s="8"/>
      <c r="AV1646" s="8"/>
      <c r="AW1646" s="8"/>
      <c r="AX1646" s="8"/>
      <c r="AY1646" s="8"/>
      <c r="AZ1646" s="10"/>
    </row>
    <row r="1647" spans="2:52" x14ac:dyDescent="0.35">
      <c r="B1647" s="7"/>
      <c r="C1647" s="8"/>
      <c r="D1647" s="8"/>
      <c r="E1647" s="8"/>
      <c r="F1647" s="8"/>
      <c r="G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  <c r="AG1647" s="8"/>
      <c r="AH1647" s="8"/>
      <c r="AI1647" s="8"/>
      <c r="AJ1647" s="8"/>
      <c r="AK1647" s="8"/>
      <c r="AL1647" s="8"/>
      <c r="AM1647" s="8"/>
      <c r="AN1647" s="8"/>
      <c r="AO1647" s="8"/>
      <c r="AP1647" s="8"/>
      <c r="AQ1647" s="8"/>
      <c r="AR1647" s="8"/>
      <c r="AS1647" s="8"/>
      <c r="AT1647" s="8"/>
      <c r="AU1647" s="8"/>
      <c r="AV1647" s="8"/>
      <c r="AW1647" s="8"/>
      <c r="AX1647" s="8"/>
      <c r="AY1647" s="8"/>
      <c r="AZ1647" s="10"/>
    </row>
    <row r="1648" spans="2:52" x14ac:dyDescent="0.35">
      <c r="B1648" s="7"/>
      <c r="C1648" s="8"/>
      <c r="D1648" s="8"/>
      <c r="E1648" s="8"/>
      <c r="F1648" s="8"/>
      <c r="G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  <c r="AG1648" s="8"/>
      <c r="AH1648" s="8"/>
      <c r="AI1648" s="8"/>
      <c r="AJ1648" s="8"/>
      <c r="AK1648" s="8"/>
      <c r="AL1648" s="8"/>
      <c r="AM1648" s="8"/>
      <c r="AN1648" s="8"/>
      <c r="AO1648" s="8"/>
      <c r="AP1648" s="8"/>
      <c r="AQ1648" s="8"/>
      <c r="AR1648" s="8"/>
      <c r="AS1648" s="8"/>
      <c r="AT1648" s="8"/>
      <c r="AU1648" s="8"/>
      <c r="AV1648" s="8"/>
      <c r="AW1648" s="8"/>
      <c r="AX1648" s="8"/>
      <c r="AY1648" s="8"/>
      <c r="AZ1648" s="10"/>
    </row>
    <row r="1649" spans="2:52" x14ac:dyDescent="0.35">
      <c r="B1649" s="7"/>
      <c r="C1649" s="8"/>
      <c r="D1649" s="8"/>
      <c r="E1649" s="8"/>
      <c r="F1649" s="8"/>
      <c r="G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  <c r="AG1649" s="8"/>
      <c r="AH1649" s="8"/>
      <c r="AI1649" s="8"/>
      <c r="AJ1649" s="8"/>
      <c r="AK1649" s="8"/>
      <c r="AL1649" s="8"/>
      <c r="AM1649" s="8"/>
      <c r="AN1649" s="8"/>
      <c r="AO1649" s="8"/>
      <c r="AP1649" s="8"/>
      <c r="AQ1649" s="8"/>
      <c r="AR1649" s="8"/>
      <c r="AS1649" s="8"/>
      <c r="AT1649" s="8"/>
      <c r="AU1649" s="8"/>
      <c r="AV1649" s="8"/>
      <c r="AW1649" s="8"/>
      <c r="AX1649" s="8"/>
      <c r="AY1649" s="8"/>
      <c r="AZ1649" s="10"/>
    </row>
    <row r="1650" spans="2:52" x14ac:dyDescent="0.35">
      <c r="B1650" s="7"/>
      <c r="C1650" s="8"/>
      <c r="D1650" s="8"/>
      <c r="E1650" s="8"/>
      <c r="F1650" s="8"/>
      <c r="G1650" s="8"/>
      <c r="H1650" s="8"/>
      <c r="I1650" s="8"/>
      <c r="J1650" s="8"/>
      <c r="K1650" s="8"/>
      <c r="L1650" s="8"/>
      <c r="M1650" s="8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  <c r="AD1650" s="8"/>
      <c r="AE1650" s="8"/>
      <c r="AF1650" s="8"/>
      <c r="AG1650" s="8"/>
      <c r="AH1650" s="8"/>
      <c r="AI1650" s="8"/>
      <c r="AJ1650" s="8"/>
      <c r="AK1650" s="8"/>
      <c r="AL1650" s="8"/>
      <c r="AM1650" s="8"/>
      <c r="AN1650" s="8"/>
      <c r="AO1650" s="8"/>
      <c r="AP1650" s="8"/>
      <c r="AQ1650" s="8"/>
      <c r="AR1650" s="8"/>
      <c r="AS1650" s="8"/>
      <c r="AT1650" s="8"/>
      <c r="AU1650" s="8"/>
      <c r="AV1650" s="8"/>
      <c r="AW1650" s="8"/>
      <c r="AX1650" s="8"/>
      <c r="AY1650" s="8"/>
      <c r="AZ1650" s="10"/>
    </row>
    <row r="1651" spans="2:52" x14ac:dyDescent="0.35">
      <c r="B1651" s="7"/>
      <c r="C1651" s="8"/>
      <c r="D1651" s="8"/>
      <c r="E1651" s="8"/>
      <c r="F1651" s="8"/>
      <c r="G1651" s="8"/>
      <c r="H1651" s="8"/>
      <c r="I1651" s="8"/>
      <c r="J1651" s="8"/>
      <c r="K1651" s="8"/>
      <c r="L1651" s="8"/>
      <c r="M1651" s="8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  <c r="AD1651" s="8"/>
      <c r="AE1651" s="8"/>
      <c r="AF1651" s="8"/>
      <c r="AG1651" s="8"/>
      <c r="AH1651" s="8"/>
      <c r="AI1651" s="8"/>
      <c r="AJ1651" s="8"/>
      <c r="AK1651" s="8"/>
      <c r="AL1651" s="8"/>
      <c r="AM1651" s="8"/>
      <c r="AN1651" s="8"/>
      <c r="AO1651" s="8"/>
      <c r="AP1651" s="8"/>
      <c r="AQ1651" s="8"/>
      <c r="AR1651" s="8"/>
      <c r="AS1651" s="8"/>
      <c r="AT1651" s="8"/>
      <c r="AU1651" s="8"/>
      <c r="AV1651" s="8"/>
      <c r="AW1651" s="8"/>
      <c r="AX1651" s="8"/>
      <c r="AY1651" s="8"/>
      <c r="AZ1651" s="10"/>
    </row>
    <row r="1652" spans="2:52" x14ac:dyDescent="0.35">
      <c r="B1652" s="7"/>
      <c r="C1652" s="8"/>
      <c r="D1652" s="8"/>
      <c r="E1652" s="8"/>
      <c r="F1652" s="8"/>
      <c r="G1652" s="8"/>
      <c r="H1652" s="8"/>
      <c r="I1652" s="8"/>
      <c r="J1652" s="8"/>
      <c r="K1652" s="8"/>
      <c r="L1652" s="8"/>
      <c r="M1652" s="8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  <c r="AD1652" s="8"/>
      <c r="AE1652" s="8"/>
      <c r="AF1652" s="8"/>
      <c r="AG1652" s="8"/>
      <c r="AH1652" s="8"/>
      <c r="AI1652" s="8"/>
      <c r="AJ1652" s="8"/>
      <c r="AK1652" s="8"/>
      <c r="AL1652" s="8"/>
      <c r="AM1652" s="8"/>
      <c r="AN1652" s="8"/>
      <c r="AO1652" s="8"/>
      <c r="AP1652" s="8"/>
      <c r="AQ1652" s="8"/>
      <c r="AR1652" s="8"/>
      <c r="AS1652" s="8"/>
      <c r="AT1652" s="8"/>
      <c r="AU1652" s="8"/>
      <c r="AV1652" s="8"/>
      <c r="AW1652" s="8"/>
      <c r="AX1652" s="8"/>
      <c r="AY1652" s="8"/>
      <c r="AZ1652" s="10"/>
    </row>
    <row r="1653" spans="2:52" x14ac:dyDescent="0.35">
      <c r="B1653" s="7"/>
      <c r="C1653" s="8"/>
      <c r="D1653" s="8"/>
      <c r="E1653" s="8"/>
      <c r="F1653" s="8"/>
      <c r="G1653" s="8"/>
      <c r="H1653" s="8"/>
      <c r="I1653" s="8"/>
      <c r="J1653" s="8"/>
      <c r="K1653" s="8"/>
      <c r="L1653" s="8"/>
      <c r="M1653" s="8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  <c r="AD1653" s="8"/>
      <c r="AE1653" s="8"/>
      <c r="AF1653" s="8"/>
      <c r="AG1653" s="8"/>
      <c r="AH1653" s="8"/>
      <c r="AI1653" s="8"/>
      <c r="AJ1653" s="8"/>
      <c r="AK1653" s="8"/>
      <c r="AL1653" s="8"/>
      <c r="AM1653" s="8"/>
      <c r="AN1653" s="8"/>
      <c r="AO1653" s="8"/>
      <c r="AP1653" s="8"/>
      <c r="AQ1653" s="8"/>
      <c r="AR1653" s="8"/>
      <c r="AS1653" s="8"/>
      <c r="AT1653" s="8"/>
      <c r="AU1653" s="8"/>
      <c r="AV1653" s="8"/>
      <c r="AW1653" s="8"/>
      <c r="AX1653" s="8"/>
      <c r="AY1653" s="8"/>
      <c r="AZ1653" s="10"/>
    </row>
    <row r="1654" spans="2:52" x14ac:dyDescent="0.35">
      <c r="B1654" s="7"/>
      <c r="C1654" s="8"/>
      <c r="D1654" s="8"/>
      <c r="E1654" s="8"/>
      <c r="F1654" s="8"/>
      <c r="G1654" s="8"/>
      <c r="H1654" s="8"/>
      <c r="I1654" s="8"/>
      <c r="J1654" s="8"/>
      <c r="K1654" s="8"/>
      <c r="L1654" s="8"/>
      <c r="M1654" s="8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  <c r="AD1654" s="8"/>
      <c r="AE1654" s="8"/>
      <c r="AF1654" s="8"/>
      <c r="AG1654" s="8"/>
      <c r="AH1654" s="8"/>
      <c r="AI1654" s="8"/>
      <c r="AJ1654" s="8"/>
      <c r="AK1654" s="8"/>
      <c r="AL1654" s="8"/>
      <c r="AM1654" s="8"/>
      <c r="AN1654" s="8"/>
      <c r="AO1654" s="8"/>
      <c r="AP1654" s="8"/>
      <c r="AQ1654" s="8"/>
      <c r="AR1654" s="8"/>
      <c r="AS1654" s="8"/>
      <c r="AT1654" s="8"/>
      <c r="AU1654" s="8"/>
      <c r="AV1654" s="8"/>
      <c r="AW1654" s="8"/>
      <c r="AX1654" s="8"/>
      <c r="AY1654" s="8"/>
      <c r="AZ1654" s="10"/>
    </row>
    <row r="1655" spans="2:52" x14ac:dyDescent="0.35">
      <c r="B1655" s="7"/>
      <c r="C1655" s="8"/>
      <c r="D1655" s="8"/>
      <c r="E1655" s="8"/>
      <c r="F1655" s="8"/>
      <c r="G1655" s="8"/>
      <c r="H1655" s="8"/>
      <c r="I1655" s="8"/>
      <c r="J1655" s="8"/>
      <c r="K1655" s="8"/>
      <c r="L1655" s="8"/>
      <c r="M1655" s="8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  <c r="AD1655" s="8"/>
      <c r="AE1655" s="8"/>
      <c r="AF1655" s="8"/>
      <c r="AG1655" s="8"/>
      <c r="AH1655" s="8"/>
      <c r="AI1655" s="8"/>
      <c r="AJ1655" s="8"/>
      <c r="AK1655" s="8"/>
      <c r="AL1655" s="8"/>
      <c r="AM1655" s="8"/>
      <c r="AN1655" s="8"/>
      <c r="AO1655" s="8"/>
      <c r="AP1655" s="8"/>
      <c r="AQ1655" s="8"/>
      <c r="AR1655" s="8"/>
      <c r="AS1655" s="8"/>
      <c r="AT1655" s="8"/>
      <c r="AU1655" s="8"/>
      <c r="AV1655" s="8"/>
      <c r="AW1655" s="8"/>
      <c r="AX1655" s="8"/>
      <c r="AY1655" s="8"/>
      <c r="AZ1655" s="10"/>
    </row>
    <row r="1656" spans="2:52" x14ac:dyDescent="0.35">
      <c r="B1656" s="7"/>
      <c r="C1656" s="8"/>
      <c r="D1656" s="8"/>
      <c r="E1656" s="8"/>
      <c r="F1656" s="8"/>
      <c r="G1656" s="8"/>
      <c r="H1656" s="8"/>
      <c r="I1656" s="8"/>
      <c r="J1656" s="8"/>
      <c r="K1656" s="8"/>
      <c r="L1656" s="8"/>
      <c r="M1656" s="8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  <c r="AD1656" s="8"/>
      <c r="AE1656" s="8"/>
      <c r="AF1656" s="8"/>
      <c r="AG1656" s="8"/>
      <c r="AH1656" s="8"/>
      <c r="AI1656" s="8"/>
      <c r="AJ1656" s="8"/>
      <c r="AK1656" s="8"/>
      <c r="AL1656" s="8"/>
      <c r="AM1656" s="8"/>
      <c r="AN1656" s="8"/>
      <c r="AO1656" s="8"/>
      <c r="AP1656" s="8"/>
      <c r="AQ1656" s="8"/>
      <c r="AR1656" s="8"/>
      <c r="AS1656" s="8"/>
      <c r="AT1656" s="8"/>
      <c r="AU1656" s="8"/>
      <c r="AV1656" s="8"/>
      <c r="AW1656" s="8"/>
      <c r="AX1656" s="8"/>
      <c r="AY1656" s="8"/>
      <c r="AZ1656" s="10"/>
    </row>
    <row r="1657" spans="2:52" x14ac:dyDescent="0.35">
      <c r="B1657" s="7"/>
      <c r="C1657" s="8"/>
      <c r="D1657" s="8"/>
      <c r="E1657" s="8"/>
      <c r="F1657" s="8"/>
      <c r="G1657" s="8"/>
      <c r="H1657" s="8"/>
      <c r="I1657" s="8"/>
      <c r="J1657" s="8"/>
      <c r="K1657" s="8"/>
      <c r="L1657" s="8"/>
      <c r="M1657" s="8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  <c r="AD1657" s="8"/>
      <c r="AE1657" s="8"/>
      <c r="AF1657" s="8"/>
      <c r="AG1657" s="8"/>
      <c r="AH1657" s="8"/>
      <c r="AI1657" s="8"/>
      <c r="AJ1657" s="8"/>
      <c r="AK1657" s="8"/>
      <c r="AL1657" s="8"/>
      <c r="AM1657" s="8"/>
      <c r="AN1657" s="8"/>
      <c r="AO1657" s="8"/>
      <c r="AP1657" s="8"/>
      <c r="AQ1657" s="8"/>
      <c r="AR1657" s="8"/>
      <c r="AS1657" s="8"/>
      <c r="AT1657" s="8"/>
      <c r="AU1657" s="8"/>
      <c r="AV1657" s="8"/>
      <c r="AW1657" s="8"/>
      <c r="AX1657" s="8"/>
      <c r="AY1657" s="8"/>
      <c r="AZ1657" s="10"/>
    </row>
    <row r="1658" spans="2:52" x14ac:dyDescent="0.35">
      <c r="B1658" s="7"/>
      <c r="C1658" s="8"/>
      <c r="D1658" s="8"/>
      <c r="E1658" s="8"/>
      <c r="F1658" s="8"/>
      <c r="G1658" s="8"/>
      <c r="H1658" s="8"/>
      <c r="I1658" s="8"/>
      <c r="J1658" s="8"/>
      <c r="K1658" s="8"/>
      <c r="L1658" s="8"/>
      <c r="M1658" s="8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8"/>
      <c r="AE1658" s="8"/>
      <c r="AF1658" s="8"/>
      <c r="AG1658" s="8"/>
      <c r="AH1658" s="8"/>
      <c r="AI1658" s="8"/>
      <c r="AJ1658" s="8"/>
      <c r="AK1658" s="8"/>
      <c r="AL1658" s="8"/>
      <c r="AM1658" s="8"/>
      <c r="AN1658" s="8"/>
      <c r="AO1658" s="8"/>
      <c r="AP1658" s="8"/>
      <c r="AQ1658" s="8"/>
      <c r="AR1658" s="8"/>
      <c r="AS1658" s="8"/>
      <c r="AT1658" s="8"/>
      <c r="AU1658" s="8"/>
      <c r="AV1658" s="8"/>
      <c r="AW1658" s="8"/>
      <c r="AX1658" s="8"/>
      <c r="AY1658" s="8"/>
      <c r="AZ1658" s="10"/>
    </row>
    <row r="1659" spans="2:52" x14ac:dyDescent="0.35">
      <c r="B1659" s="7"/>
      <c r="C1659" s="8"/>
      <c r="D1659" s="8"/>
      <c r="E1659" s="8"/>
      <c r="F1659" s="8"/>
      <c r="G1659" s="8"/>
      <c r="H1659" s="8"/>
      <c r="I1659" s="8"/>
      <c r="J1659" s="8"/>
      <c r="K1659" s="8"/>
      <c r="L1659" s="8"/>
      <c r="M1659" s="8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8"/>
      <c r="AE1659" s="8"/>
      <c r="AF1659" s="8"/>
      <c r="AG1659" s="8"/>
      <c r="AH1659" s="8"/>
      <c r="AI1659" s="8"/>
      <c r="AJ1659" s="8"/>
      <c r="AK1659" s="8"/>
      <c r="AL1659" s="8"/>
      <c r="AM1659" s="8"/>
      <c r="AN1659" s="8"/>
      <c r="AO1659" s="8"/>
      <c r="AP1659" s="8"/>
      <c r="AQ1659" s="8"/>
      <c r="AR1659" s="8"/>
      <c r="AS1659" s="8"/>
      <c r="AT1659" s="8"/>
      <c r="AU1659" s="8"/>
      <c r="AV1659" s="8"/>
      <c r="AW1659" s="8"/>
      <c r="AX1659" s="8"/>
      <c r="AY1659" s="8"/>
      <c r="AZ1659" s="10"/>
    </row>
    <row r="1660" spans="2:52" x14ac:dyDescent="0.35">
      <c r="B1660" s="7"/>
      <c r="C1660" s="8"/>
      <c r="D1660" s="8"/>
      <c r="E1660" s="8"/>
      <c r="F1660" s="8"/>
      <c r="G1660" s="8"/>
      <c r="H1660" s="8"/>
      <c r="I1660" s="8"/>
      <c r="J1660" s="8"/>
      <c r="K1660" s="8"/>
      <c r="L1660" s="8"/>
      <c r="M1660" s="8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8"/>
      <c r="AE1660" s="8"/>
      <c r="AF1660" s="8"/>
      <c r="AG1660" s="8"/>
      <c r="AH1660" s="8"/>
      <c r="AI1660" s="8"/>
      <c r="AJ1660" s="8"/>
      <c r="AK1660" s="8"/>
      <c r="AL1660" s="8"/>
      <c r="AM1660" s="8"/>
      <c r="AN1660" s="8"/>
      <c r="AO1660" s="8"/>
      <c r="AP1660" s="8"/>
      <c r="AQ1660" s="8"/>
      <c r="AR1660" s="8"/>
      <c r="AS1660" s="8"/>
      <c r="AT1660" s="8"/>
      <c r="AU1660" s="8"/>
      <c r="AV1660" s="8"/>
      <c r="AW1660" s="8"/>
      <c r="AX1660" s="8"/>
      <c r="AY1660" s="8"/>
      <c r="AZ1660" s="10"/>
    </row>
    <row r="1661" spans="2:52" x14ac:dyDescent="0.35">
      <c r="B1661" s="7"/>
      <c r="C1661" s="8"/>
      <c r="D1661" s="8"/>
      <c r="E1661" s="8"/>
      <c r="F1661" s="8"/>
      <c r="G1661" s="8"/>
      <c r="H1661" s="8"/>
      <c r="I1661" s="8"/>
      <c r="J1661" s="8"/>
      <c r="K1661" s="8"/>
      <c r="L1661" s="8"/>
      <c r="M1661" s="8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  <c r="AD1661" s="8"/>
      <c r="AE1661" s="8"/>
      <c r="AF1661" s="8"/>
      <c r="AG1661" s="8"/>
      <c r="AH1661" s="8"/>
      <c r="AI1661" s="8"/>
      <c r="AJ1661" s="8"/>
      <c r="AK1661" s="8"/>
      <c r="AL1661" s="8"/>
      <c r="AM1661" s="8"/>
      <c r="AN1661" s="8"/>
      <c r="AO1661" s="8"/>
      <c r="AP1661" s="8"/>
      <c r="AQ1661" s="8"/>
      <c r="AR1661" s="8"/>
      <c r="AS1661" s="8"/>
      <c r="AT1661" s="8"/>
      <c r="AU1661" s="8"/>
      <c r="AV1661" s="8"/>
      <c r="AW1661" s="8"/>
      <c r="AX1661" s="8"/>
      <c r="AY1661" s="8"/>
      <c r="AZ1661" s="10"/>
    </row>
    <row r="1662" spans="2:52" x14ac:dyDescent="0.35">
      <c r="B1662" s="7"/>
      <c r="C1662" s="8"/>
      <c r="D1662" s="8"/>
      <c r="E1662" s="8"/>
      <c r="F1662" s="8"/>
      <c r="G1662" s="8"/>
      <c r="H1662" s="8"/>
      <c r="I1662" s="8"/>
      <c r="J1662" s="8"/>
      <c r="K1662" s="8"/>
      <c r="L1662" s="8"/>
      <c r="M1662" s="8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  <c r="AD1662" s="8"/>
      <c r="AE1662" s="8"/>
      <c r="AF1662" s="8"/>
      <c r="AG1662" s="8"/>
      <c r="AH1662" s="8"/>
      <c r="AI1662" s="8"/>
      <c r="AJ1662" s="8"/>
      <c r="AK1662" s="8"/>
      <c r="AL1662" s="8"/>
      <c r="AM1662" s="8"/>
      <c r="AN1662" s="8"/>
      <c r="AO1662" s="8"/>
      <c r="AP1662" s="8"/>
      <c r="AQ1662" s="8"/>
      <c r="AR1662" s="8"/>
      <c r="AS1662" s="8"/>
      <c r="AT1662" s="8"/>
      <c r="AU1662" s="8"/>
      <c r="AV1662" s="8"/>
      <c r="AW1662" s="8"/>
      <c r="AX1662" s="8"/>
      <c r="AY1662" s="8"/>
      <c r="AZ1662" s="10"/>
    </row>
    <row r="1663" spans="2:52" x14ac:dyDescent="0.35">
      <c r="B1663" s="7"/>
      <c r="C1663" s="8"/>
      <c r="D1663" s="8"/>
      <c r="E1663" s="8"/>
      <c r="F1663" s="8"/>
      <c r="G1663" s="8"/>
      <c r="H1663" s="8"/>
      <c r="I1663" s="8"/>
      <c r="J1663" s="8"/>
      <c r="K1663" s="8"/>
      <c r="L1663" s="8"/>
      <c r="M1663" s="8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  <c r="AD1663" s="8"/>
      <c r="AE1663" s="8"/>
      <c r="AF1663" s="8"/>
      <c r="AG1663" s="8"/>
      <c r="AH1663" s="8"/>
      <c r="AI1663" s="8"/>
      <c r="AJ1663" s="8"/>
      <c r="AK1663" s="8"/>
      <c r="AL1663" s="8"/>
      <c r="AM1663" s="8"/>
      <c r="AN1663" s="8"/>
      <c r="AO1663" s="8"/>
      <c r="AP1663" s="8"/>
      <c r="AQ1663" s="8"/>
      <c r="AR1663" s="8"/>
      <c r="AS1663" s="8"/>
      <c r="AT1663" s="8"/>
      <c r="AU1663" s="8"/>
      <c r="AV1663" s="8"/>
      <c r="AW1663" s="8"/>
      <c r="AX1663" s="8"/>
      <c r="AY1663" s="8"/>
      <c r="AZ1663" s="10"/>
    </row>
    <row r="1664" spans="2:52" x14ac:dyDescent="0.35">
      <c r="B1664" s="7"/>
      <c r="C1664" s="8"/>
      <c r="D1664" s="8"/>
      <c r="E1664" s="8"/>
      <c r="F1664" s="8"/>
      <c r="G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8"/>
      <c r="AE1664" s="8"/>
      <c r="AF1664" s="8"/>
      <c r="AG1664" s="8"/>
      <c r="AH1664" s="8"/>
      <c r="AI1664" s="8"/>
      <c r="AJ1664" s="8"/>
      <c r="AK1664" s="8"/>
      <c r="AL1664" s="8"/>
      <c r="AM1664" s="8"/>
      <c r="AN1664" s="8"/>
      <c r="AO1664" s="8"/>
      <c r="AP1664" s="8"/>
      <c r="AQ1664" s="8"/>
      <c r="AR1664" s="8"/>
      <c r="AS1664" s="8"/>
      <c r="AT1664" s="8"/>
      <c r="AU1664" s="8"/>
      <c r="AV1664" s="8"/>
      <c r="AW1664" s="8"/>
      <c r="AX1664" s="8"/>
      <c r="AY1664" s="8"/>
      <c r="AZ1664" s="10"/>
    </row>
    <row r="1665" spans="2:52" x14ac:dyDescent="0.35">
      <c r="B1665" s="7"/>
      <c r="C1665" s="8"/>
      <c r="D1665" s="8"/>
      <c r="E1665" s="8"/>
      <c r="F1665" s="8"/>
      <c r="G1665" s="8"/>
      <c r="H1665" s="8"/>
      <c r="I1665" s="8"/>
      <c r="J1665" s="8"/>
      <c r="K1665" s="8"/>
      <c r="L1665" s="8"/>
      <c r="M1665" s="8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8"/>
      <c r="AE1665" s="8"/>
      <c r="AF1665" s="8"/>
      <c r="AG1665" s="8"/>
      <c r="AH1665" s="8"/>
      <c r="AI1665" s="8"/>
      <c r="AJ1665" s="8"/>
      <c r="AK1665" s="8"/>
      <c r="AL1665" s="8"/>
      <c r="AM1665" s="8"/>
      <c r="AN1665" s="8"/>
      <c r="AO1665" s="8"/>
      <c r="AP1665" s="8"/>
      <c r="AQ1665" s="8"/>
      <c r="AR1665" s="8"/>
      <c r="AS1665" s="8"/>
      <c r="AT1665" s="8"/>
      <c r="AU1665" s="8"/>
      <c r="AV1665" s="8"/>
      <c r="AW1665" s="8"/>
      <c r="AX1665" s="8"/>
      <c r="AY1665" s="8"/>
      <c r="AZ1665" s="10"/>
    </row>
    <row r="1666" spans="2:52" x14ac:dyDescent="0.35">
      <c r="B1666" s="7"/>
      <c r="C1666" s="8"/>
      <c r="D1666" s="8"/>
      <c r="E1666" s="8"/>
      <c r="F1666" s="8"/>
      <c r="G1666" s="8"/>
      <c r="H1666" s="8"/>
      <c r="I1666" s="8"/>
      <c r="J1666" s="8"/>
      <c r="K1666" s="8"/>
      <c r="L1666" s="8"/>
      <c r="M1666" s="8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  <c r="AD1666" s="8"/>
      <c r="AE1666" s="8"/>
      <c r="AF1666" s="8"/>
      <c r="AG1666" s="8"/>
      <c r="AH1666" s="8"/>
      <c r="AI1666" s="8"/>
      <c r="AJ1666" s="8"/>
      <c r="AK1666" s="8"/>
      <c r="AL1666" s="8"/>
      <c r="AM1666" s="8"/>
      <c r="AN1666" s="8"/>
      <c r="AO1666" s="8"/>
      <c r="AP1666" s="8"/>
      <c r="AQ1666" s="8"/>
      <c r="AR1666" s="8"/>
      <c r="AS1666" s="8"/>
      <c r="AT1666" s="8"/>
      <c r="AU1666" s="8"/>
      <c r="AV1666" s="8"/>
      <c r="AW1666" s="8"/>
      <c r="AX1666" s="8"/>
      <c r="AY1666" s="8"/>
      <c r="AZ1666" s="10"/>
    </row>
    <row r="1667" spans="2:52" x14ac:dyDescent="0.35">
      <c r="B1667" s="7"/>
      <c r="C1667" s="8"/>
      <c r="D1667" s="8"/>
      <c r="E1667" s="8"/>
      <c r="F1667" s="8"/>
      <c r="G1667" s="8"/>
      <c r="H1667" s="8"/>
      <c r="I1667" s="8"/>
      <c r="J1667" s="8"/>
      <c r="K1667" s="8"/>
      <c r="L1667" s="8"/>
      <c r="M1667" s="8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  <c r="AD1667" s="8"/>
      <c r="AE1667" s="8"/>
      <c r="AF1667" s="8"/>
      <c r="AG1667" s="8"/>
      <c r="AH1667" s="8"/>
      <c r="AI1667" s="8"/>
      <c r="AJ1667" s="8"/>
      <c r="AK1667" s="8"/>
      <c r="AL1667" s="8"/>
      <c r="AM1667" s="8"/>
      <c r="AN1667" s="8"/>
      <c r="AO1667" s="8"/>
      <c r="AP1667" s="8"/>
      <c r="AQ1667" s="8"/>
      <c r="AR1667" s="8"/>
      <c r="AS1667" s="8"/>
      <c r="AT1667" s="8"/>
      <c r="AU1667" s="8"/>
      <c r="AV1667" s="8"/>
      <c r="AW1667" s="8"/>
      <c r="AX1667" s="8"/>
      <c r="AY1667" s="8"/>
      <c r="AZ1667" s="10"/>
    </row>
    <row r="1668" spans="2:52" x14ac:dyDescent="0.35">
      <c r="B1668" s="7"/>
      <c r="C1668" s="8"/>
      <c r="D1668" s="8"/>
      <c r="E1668" s="8"/>
      <c r="F1668" s="8"/>
      <c r="G1668" s="8"/>
      <c r="H1668" s="8"/>
      <c r="I1668" s="8"/>
      <c r="J1668" s="8"/>
      <c r="K1668" s="8"/>
      <c r="L1668" s="8"/>
      <c r="M1668" s="8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  <c r="AD1668" s="8"/>
      <c r="AE1668" s="8"/>
      <c r="AF1668" s="8"/>
      <c r="AG1668" s="8"/>
      <c r="AH1668" s="8"/>
      <c r="AI1668" s="8"/>
      <c r="AJ1668" s="8"/>
      <c r="AK1668" s="8"/>
      <c r="AL1668" s="8"/>
      <c r="AM1668" s="8"/>
      <c r="AN1668" s="8"/>
      <c r="AO1668" s="8"/>
      <c r="AP1668" s="8"/>
      <c r="AQ1668" s="8"/>
      <c r="AR1668" s="8"/>
      <c r="AS1668" s="8"/>
      <c r="AT1668" s="8"/>
      <c r="AU1668" s="8"/>
      <c r="AV1668" s="8"/>
      <c r="AW1668" s="8"/>
      <c r="AX1668" s="8"/>
      <c r="AY1668" s="8"/>
      <c r="AZ1668" s="10"/>
    </row>
    <row r="1669" spans="2:52" x14ac:dyDescent="0.35">
      <c r="B1669" s="7"/>
      <c r="C1669" s="8"/>
      <c r="D1669" s="8"/>
      <c r="E1669" s="8"/>
      <c r="F1669" s="8"/>
      <c r="G1669" s="8"/>
      <c r="H1669" s="8"/>
      <c r="I1669" s="8"/>
      <c r="J1669" s="8"/>
      <c r="K1669" s="8"/>
      <c r="L1669" s="8"/>
      <c r="M1669" s="8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  <c r="AD1669" s="8"/>
      <c r="AE1669" s="8"/>
      <c r="AF1669" s="8"/>
      <c r="AG1669" s="8"/>
      <c r="AH1669" s="8"/>
      <c r="AI1669" s="8"/>
      <c r="AJ1669" s="8"/>
      <c r="AK1669" s="8"/>
      <c r="AL1669" s="8"/>
      <c r="AM1669" s="8"/>
      <c r="AN1669" s="8"/>
      <c r="AO1669" s="8"/>
      <c r="AP1669" s="8"/>
      <c r="AQ1669" s="8"/>
      <c r="AR1669" s="8"/>
      <c r="AS1669" s="8"/>
      <c r="AT1669" s="8"/>
      <c r="AU1669" s="8"/>
      <c r="AV1669" s="8"/>
      <c r="AW1669" s="8"/>
      <c r="AX1669" s="8"/>
      <c r="AY1669" s="8"/>
      <c r="AZ1669" s="10"/>
    </row>
    <row r="1670" spans="2:52" x14ac:dyDescent="0.35">
      <c r="B1670" s="7"/>
      <c r="C1670" s="8"/>
      <c r="D1670" s="8"/>
      <c r="E1670" s="8"/>
      <c r="F1670" s="8"/>
      <c r="G1670" s="8"/>
      <c r="H1670" s="8"/>
      <c r="I1670" s="8"/>
      <c r="J1670" s="8"/>
      <c r="K1670" s="8"/>
      <c r="L1670" s="8"/>
      <c r="M1670" s="8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  <c r="AD1670" s="8"/>
      <c r="AE1670" s="8"/>
      <c r="AF1670" s="8"/>
      <c r="AG1670" s="8"/>
      <c r="AH1670" s="8"/>
      <c r="AI1670" s="8"/>
      <c r="AJ1670" s="8"/>
      <c r="AK1670" s="8"/>
      <c r="AL1670" s="8"/>
      <c r="AM1670" s="8"/>
      <c r="AN1670" s="8"/>
      <c r="AO1670" s="8"/>
      <c r="AP1670" s="8"/>
      <c r="AQ1670" s="8"/>
      <c r="AR1670" s="8"/>
      <c r="AS1670" s="8"/>
      <c r="AT1670" s="8"/>
      <c r="AU1670" s="8"/>
      <c r="AV1670" s="8"/>
      <c r="AW1670" s="8"/>
      <c r="AX1670" s="8"/>
      <c r="AY1670" s="8"/>
      <c r="AZ1670" s="10"/>
    </row>
    <row r="1671" spans="2:52" x14ac:dyDescent="0.35">
      <c r="B1671" s="7"/>
      <c r="C1671" s="8"/>
      <c r="D1671" s="8"/>
      <c r="E1671" s="8"/>
      <c r="F1671" s="8"/>
      <c r="G1671" s="8"/>
      <c r="H1671" s="8"/>
      <c r="I1671" s="8"/>
      <c r="J1671" s="8"/>
      <c r="K1671" s="8"/>
      <c r="L1671" s="8"/>
      <c r="M1671" s="8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  <c r="AD1671" s="8"/>
      <c r="AE1671" s="8"/>
      <c r="AF1671" s="8"/>
      <c r="AG1671" s="8"/>
      <c r="AH1671" s="8"/>
      <c r="AI1671" s="8"/>
      <c r="AJ1671" s="8"/>
      <c r="AK1671" s="8"/>
      <c r="AL1671" s="8"/>
      <c r="AM1671" s="8"/>
      <c r="AN1671" s="8"/>
      <c r="AO1671" s="8"/>
      <c r="AP1671" s="8"/>
      <c r="AQ1671" s="8"/>
      <c r="AR1671" s="8"/>
      <c r="AS1671" s="8"/>
      <c r="AT1671" s="8"/>
      <c r="AU1671" s="8"/>
      <c r="AV1671" s="8"/>
      <c r="AW1671" s="8"/>
      <c r="AX1671" s="8"/>
      <c r="AY1671" s="8"/>
      <c r="AZ1671" s="10"/>
    </row>
    <row r="1672" spans="2:52" x14ac:dyDescent="0.35">
      <c r="B1672" s="7"/>
      <c r="C1672" s="8"/>
      <c r="D1672" s="8"/>
      <c r="E1672" s="8"/>
      <c r="F1672" s="8"/>
      <c r="G1672" s="8"/>
      <c r="H1672" s="8"/>
      <c r="I1672" s="8"/>
      <c r="J1672" s="8"/>
      <c r="K1672" s="8"/>
      <c r="L1672" s="8"/>
      <c r="M1672" s="8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  <c r="AD1672" s="8"/>
      <c r="AE1672" s="8"/>
      <c r="AF1672" s="8"/>
      <c r="AG1672" s="8"/>
      <c r="AH1672" s="8"/>
      <c r="AI1672" s="8"/>
      <c r="AJ1672" s="8"/>
      <c r="AK1672" s="8"/>
      <c r="AL1672" s="8"/>
      <c r="AM1672" s="8"/>
      <c r="AN1672" s="8"/>
      <c r="AO1672" s="8"/>
      <c r="AP1672" s="8"/>
      <c r="AQ1672" s="8"/>
      <c r="AR1672" s="8"/>
      <c r="AS1672" s="8"/>
      <c r="AT1672" s="8"/>
      <c r="AU1672" s="8"/>
      <c r="AV1672" s="8"/>
      <c r="AW1672" s="8"/>
      <c r="AX1672" s="8"/>
      <c r="AY1672" s="8"/>
      <c r="AZ1672" s="10"/>
    </row>
    <row r="1673" spans="2:52" x14ac:dyDescent="0.35">
      <c r="B1673" s="7"/>
      <c r="C1673" s="8"/>
      <c r="D1673" s="8"/>
      <c r="E1673" s="8"/>
      <c r="F1673" s="8"/>
      <c r="G1673" s="8"/>
      <c r="H1673" s="8"/>
      <c r="I1673" s="8"/>
      <c r="J1673" s="8"/>
      <c r="K1673" s="8"/>
      <c r="L1673" s="8"/>
      <c r="M1673" s="8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  <c r="AD1673" s="8"/>
      <c r="AE1673" s="8"/>
      <c r="AF1673" s="8"/>
      <c r="AG1673" s="8"/>
      <c r="AH1673" s="8"/>
      <c r="AI1673" s="8"/>
      <c r="AJ1673" s="8"/>
      <c r="AK1673" s="8"/>
      <c r="AL1673" s="8"/>
      <c r="AM1673" s="8"/>
      <c r="AN1673" s="8"/>
      <c r="AO1673" s="8"/>
      <c r="AP1673" s="8"/>
      <c r="AQ1673" s="8"/>
      <c r="AR1673" s="8"/>
      <c r="AS1673" s="8"/>
      <c r="AT1673" s="8"/>
      <c r="AU1673" s="8"/>
      <c r="AV1673" s="8"/>
      <c r="AW1673" s="8"/>
      <c r="AX1673" s="8"/>
      <c r="AY1673" s="8"/>
      <c r="AZ1673" s="10"/>
    </row>
    <row r="1674" spans="2:52" x14ac:dyDescent="0.35">
      <c r="B1674" s="7"/>
      <c r="C1674" s="8"/>
      <c r="D1674" s="8"/>
      <c r="E1674" s="8"/>
      <c r="F1674" s="8"/>
      <c r="G1674" s="8"/>
      <c r="H1674" s="8"/>
      <c r="I1674" s="8"/>
      <c r="J1674" s="8"/>
      <c r="K1674" s="8"/>
      <c r="L1674" s="8"/>
      <c r="M1674" s="8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  <c r="AD1674" s="8"/>
      <c r="AE1674" s="8"/>
      <c r="AF1674" s="8"/>
      <c r="AG1674" s="8"/>
      <c r="AH1674" s="8"/>
      <c r="AI1674" s="8"/>
      <c r="AJ1674" s="8"/>
      <c r="AK1674" s="8"/>
      <c r="AL1674" s="8"/>
      <c r="AM1674" s="8"/>
      <c r="AN1674" s="8"/>
      <c r="AO1674" s="8"/>
      <c r="AP1674" s="8"/>
      <c r="AQ1674" s="8"/>
      <c r="AR1674" s="8"/>
      <c r="AS1674" s="8"/>
      <c r="AT1674" s="8"/>
      <c r="AU1674" s="8"/>
      <c r="AV1674" s="8"/>
      <c r="AW1674" s="8"/>
      <c r="AX1674" s="8"/>
      <c r="AY1674" s="8"/>
      <c r="AZ1674" s="10"/>
    </row>
    <row r="1675" spans="2:52" x14ac:dyDescent="0.35">
      <c r="B1675" s="7"/>
      <c r="C1675" s="8"/>
      <c r="D1675" s="8"/>
      <c r="E1675" s="8"/>
      <c r="F1675" s="8"/>
      <c r="G1675" s="8"/>
      <c r="H1675" s="8"/>
      <c r="I1675" s="8"/>
      <c r="J1675" s="8"/>
      <c r="K1675" s="8"/>
      <c r="L1675" s="8"/>
      <c r="M1675" s="8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  <c r="AD1675" s="8"/>
      <c r="AE1675" s="8"/>
      <c r="AF1675" s="8"/>
      <c r="AG1675" s="8"/>
      <c r="AH1675" s="8"/>
      <c r="AI1675" s="8"/>
      <c r="AJ1675" s="8"/>
      <c r="AK1675" s="8"/>
      <c r="AL1675" s="8"/>
      <c r="AM1675" s="8"/>
      <c r="AN1675" s="8"/>
      <c r="AO1675" s="8"/>
      <c r="AP1675" s="8"/>
      <c r="AQ1675" s="8"/>
      <c r="AR1675" s="8"/>
      <c r="AS1675" s="8"/>
      <c r="AT1675" s="8"/>
      <c r="AU1675" s="8"/>
      <c r="AV1675" s="8"/>
      <c r="AW1675" s="8"/>
      <c r="AX1675" s="8"/>
      <c r="AY1675" s="8"/>
      <c r="AZ1675" s="10"/>
    </row>
    <row r="1676" spans="2:52" x14ac:dyDescent="0.35">
      <c r="B1676" s="7"/>
      <c r="C1676" s="8"/>
      <c r="D1676" s="8"/>
      <c r="E1676" s="8"/>
      <c r="F1676" s="8"/>
      <c r="G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  <c r="AD1676" s="8"/>
      <c r="AE1676" s="8"/>
      <c r="AF1676" s="8"/>
      <c r="AG1676" s="8"/>
      <c r="AH1676" s="8"/>
      <c r="AI1676" s="8"/>
      <c r="AJ1676" s="8"/>
      <c r="AK1676" s="8"/>
      <c r="AL1676" s="8"/>
      <c r="AM1676" s="8"/>
      <c r="AN1676" s="8"/>
      <c r="AO1676" s="8"/>
      <c r="AP1676" s="8"/>
      <c r="AQ1676" s="8"/>
      <c r="AR1676" s="8"/>
      <c r="AS1676" s="8"/>
      <c r="AT1676" s="8"/>
      <c r="AU1676" s="8"/>
      <c r="AV1676" s="8"/>
      <c r="AW1676" s="8"/>
      <c r="AX1676" s="8"/>
      <c r="AY1676" s="8"/>
      <c r="AZ1676" s="10"/>
    </row>
    <row r="1677" spans="2:52" x14ac:dyDescent="0.35">
      <c r="B1677" s="7"/>
      <c r="C1677" s="8"/>
      <c r="D1677" s="8"/>
      <c r="E1677" s="8"/>
      <c r="F1677" s="8"/>
      <c r="G1677" s="8"/>
      <c r="H1677" s="8"/>
      <c r="I1677" s="8"/>
      <c r="J1677" s="8"/>
      <c r="K1677" s="8"/>
      <c r="L1677" s="8"/>
      <c r="M1677" s="8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  <c r="AD1677" s="8"/>
      <c r="AE1677" s="8"/>
      <c r="AF1677" s="8"/>
      <c r="AG1677" s="8"/>
      <c r="AH1677" s="8"/>
      <c r="AI1677" s="8"/>
      <c r="AJ1677" s="8"/>
      <c r="AK1677" s="8"/>
      <c r="AL1677" s="8"/>
      <c r="AM1677" s="8"/>
      <c r="AN1677" s="8"/>
      <c r="AO1677" s="8"/>
      <c r="AP1677" s="8"/>
      <c r="AQ1677" s="8"/>
      <c r="AR1677" s="8"/>
      <c r="AS1677" s="8"/>
      <c r="AT1677" s="8"/>
      <c r="AU1677" s="8"/>
      <c r="AV1677" s="8"/>
      <c r="AW1677" s="8"/>
      <c r="AX1677" s="8"/>
      <c r="AY1677" s="8"/>
      <c r="AZ1677" s="10"/>
    </row>
    <row r="1678" spans="2:52" x14ac:dyDescent="0.35">
      <c r="B1678" s="7"/>
      <c r="C1678" s="8"/>
      <c r="D1678" s="8"/>
      <c r="E1678" s="8"/>
      <c r="F1678" s="8"/>
      <c r="G1678" s="8"/>
      <c r="H1678" s="8"/>
      <c r="I1678" s="8"/>
      <c r="J1678" s="8"/>
      <c r="K1678" s="8"/>
      <c r="L1678" s="8"/>
      <c r="M1678" s="8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8"/>
      <c r="AE1678" s="8"/>
      <c r="AF1678" s="8"/>
      <c r="AG1678" s="8"/>
      <c r="AH1678" s="8"/>
      <c r="AI1678" s="8"/>
      <c r="AJ1678" s="8"/>
      <c r="AK1678" s="8"/>
      <c r="AL1678" s="8"/>
      <c r="AM1678" s="8"/>
      <c r="AN1678" s="8"/>
      <c r="AO1678" s="8"/>
      <c r="AP1678" s="8"/>
      <c r="AQ1678" s="8"/>
      <c r="AR1678" s="8"/>
      <c r="AS1678" s="8"/>
      <c r="AT1678" s="8"/>
      <c r="AU1678" s="8"/>
      <c r="AV1678" s="8"/>
      <c r="AW1678" s="8"/>
      <c r="AX1678" s="8"/>
      <c r="AY1678" s="8"/>
      <c r="AZ1678" s="10"/>
    </row>
    <row r="1679" spans="2:52" x14ac:dyDescent="0.35">
      <c r="B1679" s="7"/>
      <c r="C1679" s="8"/>
      <c r="D1679" s="8"/>
      <c r="E1679" s="8"/>
      <c r="F1679" s="8"/>
      <c r="G1679" s="8"/>
      <c r="H1679" s="8"/>
      <c r="I1679" s="8"/>
      <c r="J1679" s="8"/>
      <c r="K1679" s="8"/>
      <c r="L1679" s="8"/>
      <c r="M1679" s="8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  <c r="AD1679" s="8"/>
      <c r="AE1679" s="8"/>
      <c r="AF1679" s="8"/>
      <c r="AG1679" s="8"/>
      <c r="AH1679" s="8"/>
      <c r="AI1679" s="8"/>
      <c r="AJ1679" s="8"/>
      <c r="AK1679" s="8"/>
      <c r="AL1679" s="8"/>
      <c r="AM1679" s="8"/>
      <c r="AN1679" s="8"/>
      <c r="AO1679" s="8"/>
      <c r="AP1679" s="8"/>
      <c r="AQ1679" s="8"/>
      <c r="AR1679" s="8"/>
      <c r="AS1679" s="8"/>
      <c r="AT1679" s="8"/>
      <c r="AU1679" s="8"/>
      <c r="AV1679" s="8"/>
      <c r="AW1679" s="8"/>
      <c r="AX1679" s="8"/>
      <c r="AY1679" s="8"/>
      <c r="AZ1679" s="10"/>
    </row>
    <row r="1680" spans="2:52" x14ac:dyDescent="0.35">
      <c r="B1680" s="7"/>
      <c r="C1680" s="8"/>
      <c r="D1680" s="8"/>
      <c r="E1680" s="8"/>
      <c r="F1680" s="8"/>
      <c r="G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  <c r="AD1680" s="8"/>
      <c r="AE1680" s="8"/>
      <c r="AF1680" s="8"/>
      <c r="AG1680" s="8"/>
      <c r="AH1680" s="8"/>
      <c r="AI1680" s="8"/>
      <c r="AJ1680" s="8"/>
      <c r="AK1680" s="8"/>
      <c r="AL1680" s="8"/>
      <c r="AM1680" s="8"/>
      <c r="AN1680" s="8"/>
      <c r="AO1680" s="8"/>
      <c r="AP1680" s="8"/>
      <c r="AQ1680" s="8"/>
      <c r="AR1680" s="8"/>
      <c r="AS1680" s="8"/>
      <c r="AT1680" s="8"/>
      <c r="AU1680" s="8"/>
      <c r="AV1680" s="8"/>
      <c r="AW1680" s="8"/>
      <c r="AX1680" s="8"/>
      <c r="AY1680" s="8"/>
      <c r="AZ1680" s="10"/>
    </row>
    <row r="1681" spans="2:52" x14ac:dyDescent="0.35">
      <c r="B1681" s="7"/>
      <c r="C1681" s="8"/>
      <c r="D1681" s="8"/>
      <c r="E1681" s="8"/>
      <c r="F1681" s="8"/>
      <c r="G1681" s="8"/>
      <c r="H1681" s="8"/>
      <c r="I1681" s="8"/>
      <c r="J1681" s="8"/>
      <c r="K1681" s="8"/>
      <c r="L1681" s="8"/>
      <c r="M1681" s="8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  <c r="AG1681" s="8"/>
      <c r="AH1681" s="8"/>
      <c r="AI1681" s="8"/>
      <c r="AJ1681" s="8"/>
      <c r="AK1681" s="8"/>
      <c r="AL1681" s="8"/>
      <c r="AM1681" s="8"/>
      <c r="AN1681" s="8"/>
      <c r="AO1681" s="8"/>
      <c r="AP1681" s="8"/>
      <c r="AQ1681" s="8"/>
      <c r="AR1681" s="8"/>
      <c r="AS1681" s="8"/>
      <c r="AT1681" s="8"/>
      <c r="AU1681" s="8"/>
      <c r="AV1681" s="8"/>
      <c r="AW1681" s="8"/>
      <c r="AX1681" s="8"/>
      <c r="AY1681" s="8"/>
      <c r="AZ1681" s="10"/>
    </row>
    <row r="1682" spans="2:52" x14ac:dyDescent="0.35">
      <c r="B1682" s="7"/>
      <c r="C1682" s="8"/>
      <c r="D1682" s="8"/>
      <c r="E1682" s="8"/>
      <c r="F1682" s="8"/>
      <c r="G1682" s="8"/>
      <c r="H1682" s="8"/>
      <c r="I1682" s="8"/>
      <c r="J1682" s="8"/>
      <c r="K1682" s="8"/>
      <c r="L1682" s="8"/>
      <c r="M1682" s="8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  <c r="AG1682" s="8"/>
      <c r="AH1682" s="8"/>
      <c r="AI1682" s="8"/>
      <c r="AJ1682" s="8"/>
      <c r="AK1682" s="8"/>
      <c r="AL1682" s="8"/>
      <c r="AM1682" s="8"/>
      <c r="AN1682" s="8"/>
      <c r="AO1682" s="8"/>
      <c r="AP1682" s="8"/>
      <c r="AQ1682" s="8"/>
      <c r="AR1682" s="8"/>
      <c r="AS1682" s="8"/>
      <c r="AT1682" s="8"/>
      <c r="AU1682" s="8"/>
      <c r="AV1682" s="8"/>
      <c r="AW1682" s="8"/>
      <c r="AX1682" s="8"/>
      <c r="AY1682" s="8"/>
      <c r="AZ1682" s="10"/>
    </row>
    <row r="1683" spans="2:52" x14ac:dyDescent="0.35">
      <c r="B1683" s="7"/>
      <c r="C1683" s="8"/>
      <c r="D1683" s="8"/>
      <c r="E1683" s="8"/>
      <c r="F1683" s="8"/>
      <c r="G1683" s="8"/>
      <c r="H1683" s="8"/>
      <c r="I1683" s="8"/>
      <c r="J1683" s="8"/>
      <c r="K1683" s="8"/>
      <c r="L1683" s="8"/>
      <c r="M1683" s="8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  <c r="AG1683" s="8"/>
      <c r="AH1683" s="8"/>
      <c r="AI1683" s="8"/>
      <c r="AJ1683" s="8"/>
      <c r="AK1683" s="8"/>
      <c r="AL1683" s="8"/>
      <c r="AM1683" s="8"/>
      <c r="AN1683" s="8"/>
      <c r="AO1683" s="8"/>
      <c r="AP1683" s="8"/>
      <c r="AQ1683" s="8"/>
      <c r="AR1683" s="8"/>
      <c r="AS1683" s="8"/>
      <c r="AT1683" s="8"/>
      <c r="AU1683" s="8"/>
      <c r="AV1683" s="8"/>
      <c r="AW1683" s="8"/>
      <c r="AX1683" s="8"/>
      <c r="AY1683" s="8"/>
      <c r="AZ1683" s="10"/>
    </row>
    <row r="1684" spans="2:52" x14ac:dyDescent="0.35">
      <c r="B1684" s="7"/>
      <c r="C1684" s="8"/>
      <c r="D1684" s="8"/>
      <c r="E1684" s="8"/>
      <c r="F1684" s="8"/>
      <c r="G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  <c r="AG1684" s="8"/>
      <c r="AH1684" s="8"/>
      <c r="AI1684" s="8"/>
      <c r="AJ1684" s="8"/>
      <c r="AK1684" s="8"/>
      <c r="AL1684" s="8"/>
      <c r="AM1684" s="8"/>
      <c r="AN1684" s="8"/>
      <c r="AO1684" s="8"/>
      <c r="AP1684" s="8"/>
      <c r="AQ1684" s="8"/>
      <c r="AR1684" s="8"/>
      <c r="AS1684" s="8"/>
      <c r="AT1684" s="8"/>
      <c r="AU1684" s="8"/>
      <c r="AV1684" s="8"/>
      <c r="AW1684" s="8"/>
      <c r="AX1684" s="8"/>
      <c r="AY1684" s="8"/>
      <c r="AZ1684" s="10"/>
    </row>
    <row r="1685" spans="2:52" x14ac:dyDescent="0.35">
      <c r="B1685" s="7"/>
      <c r="C1685" s="8"/>
      <c r="D1685" s="8"/>
      <c r="E1685" s="8"/>
      <c r="F1685" s="8"/>
      <c r="G1685" s="8"/>
      <c r="H1685" s="8"/>
      <c r="I1685" s="8"/>
      <c r="J1685" s="8"/>
      <c r="K1685" s="8"/>
      <c r="L1685" s="8"/>
      <c r="M1685" s="8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  <c r="AG1685" s="8"/>
      <c r="AH1685" s="8"/>
      <c r="AI1685" s="8"/>
      <c r="AJ1685" s="8"/>
      <c r="AK1685" s="8"/>
      <c r="AL1685" s="8"/>
      <c r="AM1685" s="8"/>
      <c r="AN1685" s="8"/>
      <c r="AO1685" s="8"/>
      <c r="AP1685" s="8"/>
      <c r="AQ1685" s="8"/>
      <c r="AR1685" s="8"/>
      <c r="AS1685" s="8"/>
      <c r="AT1685" s="8"/>
      <c r="AU1685" s="8"/>
      <c r="AV1685" s="8"/>
      <c r="AW1685" s="8"/>
      <c r="AX1685" s="8"/>
      <c r="AY1685" s="8"/>
      <c r="AZ1685" s="10"/>
    </row>
    <row r="1686" spans="2:52" x14ac:dyDescent="0.35">
      <c r="B1686" s="7"/>
      <c r="C1686" s="8"/>
      <c r="D1686" s="8"/>
      <c r="E1686" s="8"/>
      <c r="F1686" s="8"/>
      <c r="G1686" s="8"/>
      <c r="H1686" s="8"/>
      <c r="I1686" s="8"/>
      <c r="J1686" s="8"/>
      <c r="K1686" s="8"/>
      <c r="L1686" s="8"/>
      <c r="M1686" s="8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  <c r="AD1686" s="8"/>
      <c r="AE1686" s="8"/>
      <c r="AF1686" s="8"/>
      <c r="AG1686" s="8"/>
      <c r="AH1686" s="8"/>
      <c r="AI1686" s="8"/>
      <c r="AJ1686" s="8"/>
      <c r="AK1686" s="8"/>
      <c r="AL1686" s="8"/>
      <c r="AM1686" s="8"/>
      <c r="AN1686" s="8"/>
      <c r="AO1686" s="8"/>
      <c r="AP1686" s="8"/>
      <c r="AQ1686" s="8"/>
      <c r="AR1686" s="8"/>
      <c r="AS1686" s="8"/>
      <c r="AT1686" s="8"/>
      <c r="AU1686" s="8"/>
      <c r="AV1686" s="8"/>
      <c r="AW1686" s="8"/>
      <c r="AX1686" s="8"/>
      <c r="AY1686" s="8"/>
      <c r="AZ1686" s="10"/>
    </row>
    <row r="1687" spans="2:52" x14ac:dyDescent="0.35">
      <c r="B1687" s="7"/>
      <c r="C1687" s="8"/>
      <c r="D1687" s="8"/>
      <c r="E1687" s="8"/>
      <c r="F1687" s="8"/>
      <c r="G1687" s="8"/>
      <c r="H1687" s="8"/>
      <c r="I1687" s="8"/>
      <c r="J1687" s="8"/>
      <c r="K1687" s="8"/>
      <c r="L1687" s="8"/>
      <c r="M1687" s="8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  <c r="AD1687" s="8"/>
      <c r="AE1687" s="8"/>
      <c r="AF1687" s="8"/>
      <c r="AG1687" s="8"/>
      <c r="AH1687" s="8"/>
      <c r="AI1687" s="8"/>
      <c r="AJ1687" s="8"/>
      <c r="AK1687" s="8"/>
      <c r="AL1687" s="8"/>
      <c r="AM1687" s="8"/>
      <c r="AN1687" s="8"/>
      <c r="AO1687" s="8"/>
      <c r="AP1687" s="8"/>
      <c r="AQ1687" s="8"/>
      <c r="AR1687" s="8"/>
      <c r="AS1687" s="8"/>
      <c r="AT1687" s="8"/>
      <c r="AU1687" s="8"/>
      <c r="AV1687" s="8"/>
      <c r="AW1687" s="8"/>
      <c r="AX1687" s="8"/>
      <c r="AY1687" s="8"/>
      <c r="AZ1687" s="10"/>
    </row>
    <row r="1688" spans="2:52" x14ac:dyDescent="0.35">
      <c r="B1688" s="7"/>
      <c r="C1688" s="8"/>
      <c r="D1688" s="8"/>
      <c r="E1688" s="8"/>
      <c r="F1688" s="8"/>
      <c r="G1688" s="8"/>
      <c r="H1688" s="8"/>
      <c r="I1688" s="8"/>
      <c r="J1688" s="8"/>
      <c r="K1688" s="8"/>
      <c r="L1688" s="8"/>
      <c r="M1688" s="8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  <c r="AD1688" s="8"/>
      <c r="AE1688" s="8"/>
      <c r="AF1688" s="8"/>
      <c r="AG1688" s="8"/>
      <c r="AH1688" s="8"/>
      <c r="AI1688" s="8"/>
      <c r="AJ1688" s="8"/>
      <c r="AK1688" s="8"/>
      <c r="AL1688" s="8"/>
      <c r="AM1688" s="8"/>
      <c r="AN1688" s="8"/>
      <c r="AO1688" s="8"/>
      <c r="AP1688" s="8"/>
      <c r="AQ1688" s="8"/>
      <c r="AR1688" s="8"/>
      <c r="AS1688" s="8"/>
      <c r="AT1688" s="8"/>
      <c r="AU1688" s="8"/>
      <c r="AV1688" s="8"/>
      <c r="AW1688" s="8"/>
      <c r="AX1688" s="8"/>
      <c r="AY1688" s="8"/>
      <c r="AZ1688" s="10"/>
    </row>
    <row r="1689" spans="2:52" x14ac:dyDescent="0.35">
      <c r="B1689" s="7"/>
      <c r="C1689" s="8"/>
      <c r="D1689" s="8"/>
      <c r="E1689" s="8"/>
      <c r="F1689" s="8"/>
      <c r="G1689" s="8"/>
      <c r="H1689" s="8"/>
      <c r="I1689" s="8"/>
      <c r="J1689" s="8"/>
      <c r="K1689" s="8"/>
      <c r="L1689" s="8"/>
      <c r="M1689" s="8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  <c r="AD1689" s="8"/>
      <c r="AE1689" s="8"/>
      <c r="AF1689" s="8"/>
      <c r="AG1689" s="8"/>
      <c r="AH1689" s="8"/>
      <c r="AI1689" s="8"/>
      <c r="AJ1689" s="8"/>
      <c r="AK1689" s="8"/>
      <c r="AL1689" s="8"/>
      <c r="AM1689" s="8"/>
      <c r="AN1689" s="8"/>
      <c r="AO1689" s="8"/>
      <c r="AP1689" s="8"/>
      <c r="AQ1689" s="8"/>
      <c r="AR1689" s="8"/>
      <c r="AS1689" s="8"/>
      <c r="AT1689" s="8"/>
      <c r="AU1689" s="8"/>
      <c r="AV1689" s="8"/>
      <c r="AW1689" s="8"/>
      <c r="AX1689" s="8"/>
      <c r="AY1689" s="8"/>
      <c r="AZ1689" s="10"/>
    </row>
    <row r="1690" spans="2:52" x14ac:dyDescent="0.35">
      <c r="B1690" s="7"/>
      <c r="C1690" s="8"/>
      <c r="D1690" s="8"/>
      <c r="E1690" s="8"/>
      <c r="F1690" s="8"/>
      <c r="G1690" s="8"/>
      <c r="H1690" s="8"/>
      <c r="I1690" s="8"/>
      <c r="J1690" s="8"/>
      <c r="K1690" s="8"/>
      <c r="L1690" s="8"/>
      <c r="M1690" s="8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  <c r="AD1690" s="8"/>
      <c r="AE1690" s="8"/>
      <c r="AF1690" s="8"/>
      <c r="AG1690" s="8"/>
      <c r="AH1690" s="8"/>
      <c r="AI1690" s="8"/>
      <c r="AJ1690" s="8"/>
      <c r="AK1690" s="8"/>
      <c r="AL1690" s="8"/>
      <c r="AM1690" s="8"/>
      <c r="AN1690" s="8"/>
      <c r="AO1690" s="8"/>
      <c r="AP1690" s="8"/>
      <c r="AQ1690" s="8"/>
      <c r="AR1690" s="8"/>
      <c r="AS1690" s="8"/>
      <c r="AT1690" s="8"/>
      <c r="AU1690" s="8"/>
      <c r="AV1690" s="8"/>
      <c r="AW1690" s="8"/>
      <c r="AX1690" s="8"/>
      <c r="AY1690" s="8"/>
      <c r="AZ1690" s="10"/>
    </row>
    <row r="1691" spans="2:52" x14ac:dyDescent="0.35">
      <c r="B1691" s="7"/>
      <c r="C1691" s="8"/>
      <c r="D1691" s="8"/>
      <c r="E1691" s="8"/>
      <c r="F1691" s="8"/>
      <c r="G1691" s="8"/>
      <c r="H1691" s="8"/>
      <c r="I1691" s="8"/>
      <c r="J1691" s="8"/>
      <c r="K1691" s="8"/>
      <c r="L1691" s="8"/>
      <c r="M1691" s="8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  <c r="AD1691" s="8"/>
      <c r="AE1691" s="8"/>
      <c r="AF1691" s="8"/>
      <c r="AG1691" s="8"/>
      <c r="AH1691" s="8"/>
      <c r="AI1691" s="8"/>
      <c r="AJ1691" s="8"/>
      <c r="AK1691" s="8"/>
      <c r="AL1691" s="8"/>
      <c r="AM1691" s="8"/>
      <c r="AN1691" s="8"/>
      <c r="AO1691" s="8"/>
      <c r="AP1691" s="8"/>
      <c r="AQ1691" s="8"/>
      <c r="AR1691" s="8"/>
      <c r="AS1691" s="8"/>
      <c r="AT1691" s="8"/>
      <c r="AU1691" s="8"/>
      <c r="AV1691" s="8"/>
      <c r="AW1691" s="8"/>
      <c r="AX1691" s="8"/>
      <c r="AY1691" s="8"/>
      <c r="AZ1691" s="10"/>
    </row>
    <row r="1692" spans="2:52" x14ac:dyDescent="0.35">
      <c r="B1692" s="7"/>
      <c r="C1692" s="8"/>
      <c r="D1692" s="8"/>
      <c r="E1692" s="8"/>
      <c r="F1692" s="8"/>
      <c r="G1692" s="8"/>
      <c r="H1692" s="8"/>
      <c r="I1692" s="8"/>
      <c r="J1692" s="8"/>
      <c r="K1692" s="8"/>
      <c r="L1692" s="8"/>
      <c r="M1692" s="8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  <c r="AD1692" s="8"/>
      <c r="AE1692" s="8"/>
      <c r="AF1692" s="8"/>
      <c r="AG1692" s="8"/>
      <c r="AH1692" s="8"/>
      <c r="AI1692" s="8"/>
      <c r="AJ1692" s="8"/>
      <c r="AK1692" s="8"/>
      <c r="AL1692" s="8"/>
      <c r="AM1692" s="8"/>
      <c r="AN1692" s="8"/>
      <c r="AO1692" s="8"/>
      <c r="AP1692" s="8"/>
      <c r="AQ1692" s="8"/>
      <c r="AR1692" s="8"/>
      <c r="AS1692" s="8"/>
      <c r="AT1692" s="8"/>
      <c r="AU1692" s="8"/>
      <c r="AV1692" s="8"/>
      <c r="AW1692" s="8"/>
      <c r="AX1692" s="8"/>
      <c r="AY1692" s="8"/>
      <c r="AZ1692" s="10"/>
    </row>
    <row r="1693" spans="2:52" x14ac:dyDescent="0.35">
      <c r="B1693" s="7"/>
      <c r="C1693" s="8"/>
      <c r="D1693" s="8"/>
      <c r="E1693" s="8"/>
      <c r="F1693" s="8"/>
      <c r="G1693" s="8"/>
      <c r="H1693" s="8"/>
      <c r="I1693" s="8"/>
      <c r="J1693" s="8"/>
      <c r="K1693" s="8"/>
      <c r="L1693" s="8"/>
      <c r="M1693" s="8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  <c r="AD1693" s="8"/>
      <c r="AE1693" s="8"/>
      <c r="AF1693" s="8"/>
      <c r="AG1693" s="8"/>
      <c r="AH1693" s="8"/>
      <c r="AI1693" s="8"/>
      <c r="AJ1693" s="8"/>
      <c r="AK1693" s="8"/>
      <c r="AL1693" s="8"/>
      <c r="AM1693" s="8"/>
      <c r="AN1693" s="8"/>
      <c r="AO1693" s="8"/>
      <c r="AP1693" s="8"/>
      <c r="AQ1693" s="8"/>
      <c r="AR1693" s="8"/>
      <c r="AS1693" s="8"/>
      <c r="AT1693" s="8"/>
      <c r="AU1693" s="8"/>
      <c r="AV1693" s="8"/>
      <c r="AW1693" s="8"/>
      <c r="AX1693" s="8"/>
      <c r="AY1693" s="8"/>
      <c r="AZ1693" s="10"/>
    </row>
    <row r="1694" spans="2:52" x14ac:dyDescent="0.35">
      <c r="B1694" s="7"/>
      <c r="C1694" s="8"/>
      <c r="D1694" s="8"/>
      <c r="E1694" s="8"/>
      <c r="F1694" s="8"/>
      <c r="G1694" s="8"/>
      <c r="H1694" s="8"/>
      <c r="I1694" s="8"/>
      <c r="J1694" s="8"/>
      <c r="K1694" s="8"/>
      <c r="L1694" s="8"/>
      <c r="M1694" s="8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8"/>
      <c r="AE1694" s="8"/>
      <c r="AF1694" s="8"/>
      <c r="AG1694" s="8"/>
      <c r="AH1694" s="8"/>
      <c r="AI1694" s="8"/>
      <c r="AJ1694" s="8"/>
      <c r="AK1694" s="8"/>
      <c r="AL1694" s="8"/>
      <c r="AM1694" s="8"/>
      <c r="AN1694" s="8"/>
      <c r="AO1694" s="8"/>
      <c r="AP1694" s="8"/>
      <c r="AQ1694" s="8"/>
      <c r="AR1694" s="8"/>
      <c r="AS1694" s="8"/>
      <c r="AT1694" s="8"/>
      <c r="AU1694" s="8"/>
      <c r="AV1694" s="8"/>
      <c r="AW1694" s="8"/>
      <c r="AX1694" s="8"/>
      <c r="AY1694" s="8"/>
      <c r="AZ1694" s="10"/>
    </row>
    <row r="1695" spans="2:52" x14ac:dyDescent="0.35">
      <c r="B1695" s="7"/>
      <c r="C1695" s="8"/>
      <c r="D1695" s="8"/>
      <c r="E1695" s="8"/>
      <c r="F1695" s="8"/>
      <c r="G1695" s="8"/>
      <c r="H1695" s="8"/>
      <c r="I1695" s="8"/>
      <c r="J1695" s="8"/>
      <c r="K1695" s="8"/>
      <c r="L1695" s="8"/>
      <c r="M1695" s="8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8"/>
      <c r="AE1695" s="8"/>
      <c r="AF1695" s="8"/>
      <c r="AG1695" s="8"/>
      <c r="AH1695" s="8"/>
      <c r="AI1695" s="8"/>
      <c r="AJ1695" s="8"/>
      <c r="AK1695" s="8"/>
      <c r="AL1695" s="8"/>
      <c r="AM1695" s="8"/>
      <c r="AN1695" s="8"/>
      <c r="AO1695" s="8"/>
      <c r="AP1695" s="8"/>
      <c r="AQ1695" s="8"/>
      <c r="AR1695" s="8"/>
      <c r="AS1695" s="8"/>
      <c r="AT1695" s="8"/>
      <c r="AU1695" s="8"/>
      <c r="AV1695" s="8"/>
      <c r="AW1695" s="8"/>
      <c r="AX1695" s="8"/>
      <c r="AY1695" s="8"/>
      <c r="AZ1695" s="10"/>
    </row>
    <row r="1696" spans="2:52" x14ac:dyDescent="0.35">
      <c r="B1696" s="7"/>
      <c r="C1696" s="8"/>
      <c r="D1696" s="8"/>
      <c r="E1696" s="8"/>
      <c r="F1696" s="8"/>
      <c r="G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8"/>
      <c r="AE1696" s="8"/>
      <c r="AF1696" s="8"/>
      <c r="AG1696" s="8"/>
      <c r="AH1696" s="8"/>
      <c r="AI1696" s="8"/>
      <c r="AJ1696" s="8"/>
      <c r="AK1696" s="8"/>
      <c r="AL1696" s="8"/>
      <c r="AM1696" s="8"/>
      <c r="AN1696" s="8"/>
      <c r="AO1696" s="8"/>
      <c r="AP1696" s="8"/>
      <c r="AQ1696" s="8"/>
      <c r="AR1696" s="8"/>
      <c r="AS1696" s="8"/>
      <c r="AT1696" s="8"/>
      <c r="AU1696" s="8"/>
      <c r="AV1696" s="8"/>
      <c r="AW1696" s="8"/>
      <c r="AX1696" s="8"/>
      <c r="AY1696" s="8"/>
      <c r="AZ1696" s="10"/>
    </row>
    <row r="1697" spans="2:52" x14ac:dyDescent="0.35">
      <c r="B1697" s="7"/>
      <c r="C1697" s="8"/>
      <c r="D1697" s="8"/>
      <c r="E1697" s="8"/>
      <c r="F1697" s="8"/>
      <c r="G1697" s="8"/>
      <c r="H1697" s="8"/>
      <c r="I1697" s="8"/>
      <c r="J1697" s="8"/>
      <c r="K1697" s="8"/>
      <c r="L1697" s="8"/>
      <c r="M1697" s="8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  <c r="AD1697" s="8"/>
      <c r="AE1697" s="8"/>
      <c r="AF1697" s="8"/>
      <c r="AG1697" s="8"/>
      <c r="AH1697" s="8"/>
      <c r="AI1697" s="8"/>
      <c r="AJ1697" s="8"/>
      <c r="AK1697" s="8"/>
      <c r="AL1697" s="8"/>
      <c r="AM1697" s="8"/>
      <c r="AN1697" s="8"/>
      <c r="AO1697" s="8"/>
      <c r="AP1697" s="8"/>
      <c r="AQ1697" s="8"/>
      <c r="AR1697" s="8"/>
      <c r="AS1697" s="8"/>
      <c r="AT1697" s="8"/>
      <c r="AU1697" s="8"/>
      <c r="AV1697" s="8"/>
      <c r="AW1697" s="8"/>
      <c r="AX1697" s="8"/>
      <c r="AY1697" s="8"/>
      <c r="AZ1697" s="10"/>
    </row>
    <row r="1698" spans="2:52" x14ac:dyDescent="0.35">
      <c r="B1698" s="7"/>
      <c r="C1698" s="8"/>
      <c r="D1698" s="8"/>
      <c r="E1698" s="8"/>
      <c r="F1698" s="8"/>
      <c r="G1698" s="8"/>
      <c r="H1698" s="8"/>
      <c r="I1698" s="8"/>
      <c r="J1698" s="8"/>
      <c r="K1698" s="8"/>
      <c r="L1698" s="8"/>
      <c r="M1698" s="8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  <c r="AD1698" s="8"/>
      <c r="AE1698" s="8"/>
      <c r="AF1698" s="8"/>
      <c r="AG1698" s="8"/>
      <c r="AH1698" s="8"/>
      <c r="AI1698" s="8"/>
      <c r="AJ1698" s="8"/>
      <c r="AK1698" s="8"/>
      <c r="AL1698" s="8"/>
      <c r="AM1698" s="8"/>
      <c r="AN1698" s="8"/>
      <c r="AO1698" s="8"/>
      <c r="AP1698" s="8"/>
      <c r="AQ1698" s="8"/>
      <c r="AR1698" s="8"/>
      <c r="AS1698" s="8"/>
      <c r="AT1698" s="8"/>
      <c r="AU1698" s="8"/>
      <c r="AV1698" s="8"/>
      <c r="AW1698" s="8"/>
      <c r="AX1698" s="8"/>
      <c r="AY1698" s="8"/>
      <c r="AZ1698" s="10"/>
    </row>
    <row r="1699" spans="2:52" x14ac:dyDescent="0.35">
      <c r="B1699" s="7"/>
      <c r="C1699" s="8"/>
      <c r="D1699" s="8"/>
      <c r="E1699" s="8"/>
      <c r="F1699" s="8"/>
      <c r="G1699" s="8"/>
      <c r="H1699" s="8"/>
      <c r="I1699" s="8"/>
      <c r="J1699" s="8"/>
      <c r="K1699" s="8"/>
      <c r="L1699" s="8"/>
      <c r="M1699" s="8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  <c r="AD1699" s="8"/>
      <c r="AE1699" s="8"/>
      <c r="AF1699" s="8"/>
      <c r="AG1699" s="8"/>
      <c r="AH1699" s="8"/>
      <c r="AI1699" s="8"/>
      <c r="AJ1699" s="8"/>
      <c r="AK1699" s="8"/>
      <c r="AL1699" s="8"/>
      <c r="AM1699" s="8"/>
      <c r="AN1699" s="8"/>
      <c r="AO1699" s="8"/>
      <c r="AP1699" s="8"/>
      <c r="AQ1699" s="8"/>
      <c r="AR1699" s="8"/>
      <c r="AS1699" s="8"/>
      <c r="AT1699" s="8"/>
      <c r="AU1699" s="8"/>
      <c r="AV1699" s="8"/>
      <c r="AW1699" s="8"/>
      <c r="AX1699" s="8"/>
      <c r="AY1699" s="8"/>
      <c r="AZ1699" s="10"/>
    </row>
    <row r="1700" spans="2:52" x14ac:dyDescent="0.35">
      <c r="B1700" s="7"/>
      <c r="C1700" s="8"/>
      <c r="D1700" s="8"/>
      <c r="E1700" s="8"/>
      <c r="F1700" s="8"/>
      <c r="G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8"/>
      <c r="AE1700" s="8"/>
      <c r="AF1700" s="8"/>
      <c r="AG1700" s="8"/>
      <c r="AH1700" s="8"/>
      <c r="AI1700" s="8"/>
      <c r="AJ1700" s="8"/>
      <c r="AK1700" s="8"/>
      <c r="AL1700" s="8"/>
      <c r="AM1700" s="8"/>
      <c r="AN1700" s="8"/>
      <c r="AO1700" s="8"/>
      <c r="AP1700" s="8"/>
      <c r="AQ1700" s="8"/>
      <c r="AR1700" s="8"/>
      <c r="AS1700" s="8"/>
      <c r="AT1700" s="8"/>
      <c r="AU1700" s="8"/>
      <c r="AV1700" s="8"/>
      <c r="AW1700" s="8"/>
      <c r="AX1700" s="8"/>
      <c r="AY1700" s="8"/>
      <c r="AZ1700" s="10"/>
    </row>
    <row r="1701" spans="2:52" x14ac:dyDescent="0.35">
      <c r="B1701" s="7"/>
      <c r="C1701" s="8"/>
      <c r="D1701" s="8"/>
      <c r="E1701" s="8"/>
      <c r="F1701" s="8"/>
      <c r="G1701" s="8"/>
      <c r="H1701" s="8"/>
      <c r="I1701" s="8"/>
      <c r="J1701" s="8"/>
      <c r="K1701" s="8"/>
      <c r="L1701" s="8"/>
      <c r="M1701" s="8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8"/>
      <c r="AE1701" s="8"/>
      <c r="AF1701" s="8"/>
      <c r="AG1701" s="8"/>
      <c r="AH1701" s="8"/>
      <c r="AI1701" s="8"/>
      <c r="AJ1701" s="8"/>
      <c r="AK1701" s="8"/>
      <c r="AL1701" s="8"/>
      <c r="AM1701" s="8"/>
      <c r="AN1701" s="8"/>
      <c r="AO1701" s="8"/>
      <c r="AP1701" s="8"/>
      <c r="AQ1701" s="8"/>
      <c r="AR1701" s="8"/>
      <c r="AS1701" s="8"/>
      <c r="AT1701" s="8"/>
      <c r="AU1701" s="8"/>
      <c r="AV1701" s="8"/>
      <c r="AW1701" s="8"/>
      <c r="AX1701" s="8"/>
      <c r="AY1701" s="8"/>
      <c r="AZ1701" s="10"/>
    </row>
    <row r="1702" spans="2:52" x14ac:dyDescent="0.35">
      <c r="B1702" s="7"/>
      <c r="C1702" s="8"/>
      <c r="D1702" s="8"/>
      <c r="E1702" s="8"/>
      <c r="F1702" s="8"/>
      <c r="G1702" s="8"/>
      <c r="H1702" s="8"/>
      <c r="I1702" s="8"/>
      <c r="J1702" s="8"/>
      <c r="K1702" s="8"/>
      <c r="L1702" s="8"/>
      <c r="M1702" s="8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  <c r="AD1702" s="8"/>
      <c r="AE1702" s="8"/>
      <c r="AF1702" s="8"/>
      <c r="AG1702" s="8"/>
      <c r="AH1702" s="8"/>
      <c r="AI1702" s="8"/>
      <c r="AJ1702" s="8"/>
      <c r="AK1702" s="8"/>
      <c r="AL1702" s="8"/>
      <c r="AM1702" s="8"/>
      <c r="AN1702" s="8"/>
      <c r="AO1702" s="8"/>
      <c r="AP1702" s="8"/>
      <c r="AQ1702" s="8"/>
      <c r="AR1702" s="8"/>
      <c r="AS1702" s="8"/>
      <c r="AT1702" s="8"/>
      <c r="AU1702" s="8"/>
      <c r="AV1702" s="8"/>
      <c r="AW1702" s="8"/>
      <c r="AX1702" s="8"/>
      <c r="AY1702" s="8"/>
      <c r="AZ1702" s="10"/>
    </row>
    <row r="1703" spans="2:52" x14ac:dyDescent="0.35">
      <c r="B1703" s="7"/>
      <c r="C1703" s="8"/>
      <c r="D1703" s="8"/>
      <c r="E1703" s="8"/>
      <c r="F1703" s="8"/>
      <c r="G1703" s="8"/>
      <c r="H1703" s="8"/>
      <c r="I1703" s="8"/>
      <c r="J1703" s="8"/>
      <c r="K1703" s="8"/>
      <c r="L1703" s="8"/>
      <c r="M1703" s="8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  <c r="AD1703" s="8"/>
      <c r="AE1703" s="8"/>
      <c r="AF1703" s="8"/>
      <c r="AG1703" s="8"/>
      <c r="AH1703" s="8"/>
      <c r="AI1703" s="8"/>
      <c r="AJ1703" s="8"/>
      <c r="AK1703" s="8"/>
      <c r="AL1703" s="8"/>
      <c r="AM1703" s="8"/>
      <c r="AN1703" s="8"/>
      <c r="AO1703" s="8"/>
      <c r="AP1703" s="8"/>
      <c r="AQ1703" s="8"/>
      <c r="AR1703" s="8"/>
      <c r="AS1703" s="8"/>
      <c r="AT1703" s="8"/>
      <c r="AU1703" s="8"/>
      <c r="AV1703" s="8"/>
      <c r="AW1703" s="8"/>
      <c r="AX1703" s="8"/>
      <c r="AY1703" s="8"/>
      <c r="AZ1703" s="10"/>
    </row>
    <row r="1704" spans="2:52" x14ac:dyDescent="0.35">
      <c r="B1704" s="7"/>
      <c r="C1704" s="8"/>
      <c r="D1704" s="8"/>
      <c r="E1704" s="8"/>
      <c r="F1704" s="8"/>
      <c r="G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  <c r="AD1704" s="8"/>
      <c r="AE1704" s="8"/>
      <c r="AF1704" s="8"/>
      <c r="AG1704" s="8"/>
      <c r="AH1704" s="8"/>
      <c r="AI1704" s="8"/>
      <c r="AJ1704" s="8"/>
      <c r="AK1704" s="8"/>
      <c r="AL1704" s="8"/>
      <c r="AM1704" s="8"/>
      <c r="AN1704" s="8"/>
      <c r="AO1704" s="8"/>
      <c r="AP1704" s="8"/>
      <c r="AQ1704" s="8"/>
      <c r="AR1704" s="8"/>
      <c r="AS1704" s="8"/>
      <c r="AT1704" s="8"/>
      <c r="AU1704" s="8"/>
      <c r="AV1704" s="8"/>
      <c r="AW1704" s="8"/>
      <c r="AX1704" s="8"/>
      <c r="AY1704" s="8"/>
      <c r="AZ1704" s="10"/>
    </row>
    <row r="1705" spans="2:52" x14ac:dyDescent="0.35">
      <c r="B1705" s="7"/>
      <c r="C1705" s="8"/>
      <c r="D1705" s="8"/>
      <c r="E1705" s="8"/>
      <c r="F1705" s="8"/>
      <c r="G1705" s="8"/>
      <c r="H1705" s="8"/>
      <c r="I1705" s="8"/>
      <c r="J1705" s="8"/>
      <c r="K1705" s="8"/>
      <c r="L1705" s="8"/>
      <c r="M1705" s="8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  <c r="AD1705" s="8"/>
      <c r="AE1705" s="8"/>
      <c r="AF1705" s="8"/>
      <c r="AG1705" s="8"/>
      <c r="AH1705" s="8"/>
      <c r="AI1705" s="8"/>
      <c r="AJ1705" s="8"/>
      <c r="AK1705" s="8"/>
      <c r="AL1705" s="8"/>
      <c r="AM1705" s="8"/>
      <c r="AN1705" s="8"/>
      <c r="AO1705" s="8"/>
      <c r="AP1705" s="8"/>
      <c r="AQ1705" s="8"/>
      <c r="AR1705" s="8"/>
      <c r="AS1705" s="8"/>
      <c r="AT1705" s="8"/>
      <c r="AU1705" s="8"/>
      <c r="AV1705" s="8"/>
      <c r="AW1705" s="8"/>
      <c r="AX1705" s="8"/>
      <c r="AY1705" s="8"/>
      <c r="AZ1705" s="10"/>
    </row>
    <row r="1706" spans="2:52" x14ac:dyDescent="0.35">
      <c r="B1706" s="7"/>
      <c r="C1706" s="8"/>
      <c r="D1706" s="8"/>
      <c r="E1706" s="8"/>
      <c r="F1706" s="8"/>
      <c r="G1706" s="8"/>
      <c r="H1706" s="8"/>
      <c r="I1706" s="8"/>
      <c r="J1706" s="8"/>
      <c r="K1706" s="8"/>
      <c r="L1706" s="8"/>
      <c r="M1706" s="8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  <c r="AD1706" s="8"/>
      <c r="AE1706" s="8"/>
      <c r="AF1706" s="8"/>
      <c r="AG1706" s="8"/>
      <c r="AH1706" s="8"/>
      <c r="AI1706" s="8"/>
      <c r="AJ1706" s="8"/>
      <c r="AK1706" s="8"/>
      <c r="AL1706" s="8"/>
      <c r="AM1706" s="8"/>
      <c r="AN1706" s="8"/>
      <c r="AO1706" s="8"/>
      <c r="AP1706" s="8"/>
      <c r="AQ1706" s="8"/>
      <c r="AR1706" s="8"/>
      <c r="AS1706" s="8"/>
      <c r="AT1706" s="8"/>
      <c r="AU1706" s="8"/>
      <c r="AV1706" s="8"/>
      <c r="AW1706" s="8"/>
      <c r="AX1706" s="8"/>
      <c r="AY1706" s="8"/>
      <c r="AZ1706" s="10"/>
    </row>
    <row r="1707" spans="2:52" x14ac:dyDescent="0.35">
      <c r="B1707" s="7"/>
      <c r="C1707" s="8"/>
      <c r="D1707" s="8"/>
      <c r="E1707" s="8"/>
      <c r="F1707" s="8"/>
      <c r="G1707" s="8"/>
      <c r="H1707" s="8"/>
      <c r="I1707" s="8"/>
      <c r="J1707" s="8"/>
      <c r="K1707" s="8"/>
      <c r="L1707" s="8"/>
      <c r="M1707" s="8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  <c r="AD1707" s="8"/>
      <c r="AE1707" s="8"/>
      <c r="AF1707" s="8"/>
      <c r="AG1707" s="8"/>
      <c r="AH1707" s="8"/>
      <c r="AI1707" s="8"/>
      <c r="AJ1707" s="8"/>
      <c r="AK1707" s="8"/>
      <c r="AL1707" s="8"/>
      <c r="AM1707" s="8"/>
      <c r="AN1707" s="8"/>
      <c r="AO1707" s="8"/>
      <c r="AP1707" s="8"/>
      <c r="AQ1707" s="8"/>
      <c r="AR1707" s="8"/>
      <c r="AS1707" s="8"/>
      <c r="AT1707" s="8"/>
      <c r="AU1707" s="8"/>
      <c r="AV1707" s="8"/>
      <c r="AW1707" s="8"/>
      <c r="AX1707" s="8"/>
      <c r="AY1707" s="8"/>
      <c r="AZ1707" s="10"/>
    </row>
    <row r="1708" spans="2:52" x14ac:dyDescent="0.35">
      <c r="B1708" s="7"/>
      <c r="C1708" s="8"/>
      <c r="D1708" s="8"/>
      <c r="E1708" s="8"/>
      <c r="F1708" s="8"/>
      <c r="G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  <c r="AD1708" s="8"/>
      <c r="AE1708" s="8"/>
      <c r="AF1708" s="8"/>
      <c r="AG1708" s="8"/>
      <c r="AH1708" s="8"/>
      <c r="AI1708" s="8"/>
      <c r="AJ1708" s="8"/>
      <c r="AK1708" s="8"/>
      <c r="AL1708" s="8"/>
      <c r="AM1708" s="8"/>
      <c r="AN1708" s="8"/>
      <c r="AO1708" s="8"/>
      <c r="AP1708" s="8"/>
      <c r="AQ1708" s="8"/>
      <c r="AR1708" s="8"/>
      <c r="AS1708" s="8"/>
      <c r="AT1708" s="8"/>
      <c r="AU1708" s="8"/>
      <c r="AV1708" s="8"/>
      <c r="AW1708" s="8"/>
      <c r="AX1708" s="8"/>
      <c r="AY1708" s="8"/>
      <c r="AZ1708" s="10"/>
    </row>
    <row r="1709" spans="2:52" x14ac:dyDescent="0.35">
      <c r="B1709" s="7"/>
      <c r="C1709" s="8"/>
      <c r="D1709" s="8"/>
      <c r="E1709" s="8"/>
      <c r="F1709" s="8"/>
      <c r="G1709" s="8"/>
      <c r="H1709" s="8"/>
      <c r="I1709" s="8"/>
      <c r="J1709" s="8"/>
      <c r="K1709" s="8"/>
      <c r="L1709" s="8"/>
      <c r="M1709" s="8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  <c r="AD1709" s="8"/>
      <c r="AE1709" s="8"/>
      <c r="AF1709" s="8"/>
      <c r="AG1709" s="8"/>
      <c r="AH1709" s="8"/>
      <c r="AI1709" s="8"/>
      <c r="AJ1709" s="8"/>
      <c r="AK1709" s="8"/>
      <c r="AL1709" s="8"/>
      <c r="AM1709" s="8"/>
      <c r="AN1709" s="8"/>
      <c r="AO1709" s="8"/>
      <c r="AP1709" s="8"/>
      <c r="AQ1709" s="8"/>
      <c r="AR1709" s="8"/>
      <c r="AS1709" s="8"/>
      <c r="AT1709" s="8"/>
      <c r="AU1709" s="8"/>
      <c r="AV1709" s="8"/>
      <c r="AW1709" s="8"/>
      <c r="AX1709" s="8"/>
      <c r="AY1709" s="8"/>
      <c r="AZ1709" s="10"/>
    </row>
    <row r="1710" spans="2:52" x14ac:dyDescent="0.35">
      <c r="B1710" s="7"/>
      <c r="C1710" s="8"/>
      <c r="D1710" s="8"/>
      <c r="E1710" s="8"/>
      <c r="F1710" s="8"/>
      <c r="G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  <c r="AD1710" s="8"/>
      <c r="AE1710" s="8"/>
      <c r="AF1710" s="8"/>
      <c r="AG1710" s="8"/>
      <c r="AH1710" s="8"/>
      <c r="AI1710" s="8"/>
      <c r="AJ1710" s="8"/>
      <c r="AK1710" s="8"/>
      <c r="AL1710" s="8"/>
      <c r="AM1710" s="8"/>
      <c r="AN1710" s="8"/>
      <c r="AO1710" s="8"/>
      <c r="AP1710" s="8"/>
      <c r="AQ1710" s="8"/>
      <c r="AR1710" s="8"/>
      <c r="AS1710" s="8"/>
      <c r="AT1710" s="8"/>
      <c r="AU1710" s="8"/>
      <c r="AV1710" s="8"/>
      <c r="AW1710" s="8"/>
      <c r="AX1710" s="8"/>
      <c r="AY1710" s="8"/>
      <c r="AZ1710" s="10"/>
    </row>
    <row r="1711" spans="2:52" x14ac:dyDescent="0.35">
      <c r="B1711" s="7"/>
      <c r="C1711" s="8"/>
      <c r="D1711" s="8"/>
      <c r="E1711" s="8"/>
      <c r="F1711" s="8"/>
      <c r="G1711" s="8"/>
      <c r="H1711" s="8"/>
      <c r="I1711" s="8"/>
      <c r="J1711" s="8"/>
      <c r="K1711" s="8"/>
      <c r="L1711" s="8"/>
      <c r="M1711" s="8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  <c r="AD1711" s="8"/>
      <c r="AE1711" s="8"/>
      <c r="AF1711" s="8"/>
      <c r="AG1711" s="8"/>
      <c r="AH1711" s="8"/>
      <c r="AI1711" s="8"/>
      <c r="AJ1711" s="8"/>
      <c r="AK1711" s="8"/>
      <c r="AL1711" s="8"/>
      <c r="AM1711" s="8"/>
      <c r="AN1711" s="8"/>
      <c r="AO1711" s="8"/>
      <c r="AP1711" s="8"/>
      <c r="AQ1711" s="8"/>
      <c r="AR1711" s="8"/>
      <c r="AS1711" s="8"/>
      <c r="AT1711" s="8"/>
      <c r="AU1711" s="8"/>
      <c r="AV1711" s="8"/>
      <c r="AW1711" s="8"/>
      <c r="AX1711" s="8"/>
      <c r="AY1711" s="8"/>
      <c r="AZ1711" s="10"/>
    </row>
    <row r="1712" spans="2:52" x14ac:dyDescent="0.35">
      <c r="B1712" s="7"/>
      <c r="C1712" s="8"/>
      <c r="D1712" s="8"/>
      <c r="E1712" s="8"/>
      <c r="F1712" s="8"/>
      <c r="G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  <c r="AD1712" s="8"/>
      <c r="AE1712" s="8"/>
      <c r="AF1712" s="8"/>
      <c r="AG1712" s="8"/>
      <c r="AH1712" s="8"/>
      <c r="AI1712" s="8"/>
      <c r="AJ1712" s="8"/>
      <c r="AK1712" s="8"/>
      <c r="AL1712" s="8"/>
      <c r="AM1712" s="8"/>
      <c r="AN1712" s="8"/>
      <c r="AO1712" s="8"/>
      <c r="AP1712" s="8"/>
      <c r="AQ1712" s="8"/>
      <c r="AR1712" s="8"/>
      <c r="AS1712" s="8"/>
      <c r="AT1712" s="8"/>
      <c r="AU1712" s="8"/>
      <c r="AV1712" s="8"/>
      <c r="AW1712" s="8"/>
      <c r="AX1712" s="8"/>
      <c r="AY1712" s="8"/>
      <c r="AZ1712" s="10"/>
    </row>
    <row r="1713" spans="2:52" x14ac:dyDescent="0.35">
      <c r="B1713" s="7"/>
      <c r="C1713" s="8"/>
      <c r="D1713" s="8"/>
      <c r="E1713" s="8"/>
      <c r="F1713" s="8"/>
      <c r="G1713" s="8"/>
      <c r="H1713" s="8"/>
      <c r="I1713" s="8"/>
      <c r="J1713" s="8"/>
      <c r="K1713" s="8"/>
      <c r="L1713" s="8"/>
      <c r="M1713" s="8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  <c r="AD1713" s="8"/>
      <c r="AE1713" s="8"/>
      <c r="AF1713" s="8"/>
      <c r="AG1713" s="8"/>
      <c r="AH1713" s="8"/>
      <c r="AI1713" s="8"/>
      <c r="AJ1713" s="8"/>
      <c r="AK1713" s="8"/>
      <c r="AL1713" s="8"/>
      <c r="AM1713" s="8"/>
      <c r="AN1713" s="8"/>
      <c r="AO1713" s="8"/>
      <c r="AP1713" s="8"/>
      <c r="AQ1713" s="8"/>
      <c r="AR1713" s="8"/>
      <c r="AS1713" s="8"/>
      <c r="AT1713" s="8"/>
      <c r="AU1713" s="8"/>
      <c r="AV1713" s="8"/>
      <c r="AW1713" s="8"/>
      <c r="AX1713" s="8"/>
      <c r="AY1713" s="8"/>
      <c r="AZ1713" s="10"/>
    </row>
    <row r="1714" spans="2:52" x14ac:dyDescent="0.35">
      <c r="B1714" s="7"/>
      <c r="C1714" s="8"/>
      <c r="D1714" s="8"/>
      <c r="E1714" s="8"/>
      <c r="F1714" s="8"/>
      <c r="G1714" s="8"/>
      <c r="H1714" s="8"/>
      <c r="I1714" s="8"/>
      <c r="J1714" s="8"/>
      <c r="K1714" s="8"/>
      <c r="L1714" s="8"/>
      <c r="M1714" s="8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8"/>
      <c r="AE1714" s="8"/>
      <c r="AF1714" s="8"/>
      <c r="AG1714" s="8"/>
      <c r="AH1714" s="8"/>
      <c r="AI1714" s="8"/>
      <c r="AJ1714" s="8"/>
      <c r="AK1714" s="8"/>
      <c r="AL1714" s="8"/>
      <c r="AM1714" s="8"/>
      <c r="AN1714" s="8"/>
      <c r="AO1714" s="8"/>
      <c r="AP1714" s="8"/>
      <c r="AQ1714" s="8"/>
      <c r="AR1714" s="8"/>
      <c r="AS1714" s="8"/>
      <c r="AT1714" s="8"/>
      <c r="AU1714" s="8"/>
      <c r="AV1714" s="8"/>
      <c r="AW1714" s="8"/>
      <c r="AX1714" s="8"/>
      <c r="AY1714" s="8"/>
      <c r="AZ1714" s="10"/>
    </row>
    <row r="1715" spans="2:52" x14ac:dyDescent="0.35">
      <c r="B1715" s="7"/>
      <c r="C1715" s="8"/>
      <c r="D1715" s="8"/>
      <c r="E1715" s="8"/>
      <c r="F1715" s="8"/>
      <c r="G1715" s="8"/>
      <c r="H1715" s="8"/>
      <c r="I1715" s="8"/>
      <c r="J1715" s="8"/>
      <c r="K1715" s="8"/>
      <c r="L1715" s="8"/>
      <c r="M1715" s="8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  <c r="AD1715" s="8"/>
      <c r="AE1715" s="8"/>
      <c r="AF1715" s="8"/>
      <c r="AG1715" s="8"/>
      <c r="AH1715" s="8"/>
      <c r="AI1715" s="8"/>
      <c r="AJ1715" s="8"/>
      <c r="AK1715" s="8"/>
      <c r="AL1715" s="8"/>
      <c r="AM1715" s="8"/>
      <c r="AN1715" s="8"/>
      <c r="AO1715" s="8"/>
      <c r="AP1715" s="8"/>
      <c r="AQ1715" s="8"/>
      <c r="AR1715" s="8"/>
      <c r="AS1715" s="8"/>
      <c r="AT1715" s="8"/>
      <c r="AU1715" s="8"/>
      <c r="AV1715" s="8"/>
      <c r="AW1715" s="8"/>
      <c r="AX1715" s="8"/>
      <c r="AY1715" s="8"/>
      <c r="AZ1715" s="10"/>
    </row>
    <row r="1716" spans="2:52" x14ac:dyDescent="0.35">
      <c r="B1716" s="7"/>
      <c r="C1716" s="8"/>
      <c r="D1716" s="8"/>
      <c r="E1716" s="8"/>
      <c r="F1716" s="8"/>
      <c r="G1716" s="8"/>
      <c r="H1716" s="8"/>
      <c r="I1716" s="8"/>
      <c r="J1716" s="8"/>
      <c r="K1716" s="8"/>
      <c r="L1716" s="8"/>
      <c r="M1716" s="8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  <c r="AD1716" s="8"/>
      <c r="AE1716" s="8"/>
      <c r="AF1716" s="8"/>
      <c r="AG1716" s="8"/>
      <c r="AH1716" s="8"/>
      <c r="AI1716" s="8"/>
      <c r="AJ1716" s="8"/>
      <c r="AK1716" s="8"/>
      <c r="AL1716" s="8"/>
      <c r="AM1716" s="8"/>
      <c r="AN1716" s="8"/>
      <c r="AO1716" s="8"/>
      <c r="AP1716" s="8"/>
      <c r="AQ1716" s="8"/>
      <c r="AR1716" s="8"/>
      <c r="AS1716" s="8"/>
      <c r="AT1716" s="8"/>
      <c r="AU1716" s="8"/>
      <c r="AV1716" s="8"/>
      <c r="AW1716" s="8"/>
      <c r="AX1716" s="8"/>
      <c r="AY1716" s="8"/>
      <c r="AZ1716" s="10"/>
    </row>
    <row r="1717" spans="2:52" x14ac:dyDescent="0.35">
      <c r="B1717" s="7"/>
      <c r="C1717" s="8"/>
      <c r="D1717" s="8"/>
      <c r="E1717" s="8"/>
      <c r="F1717" s="8"/>
      <c r="G1717" s="8"/>
      <c r="H1717" s="8"/>
      <c r="I1717" s="8"/>
      <c r="J1717" s="8"/>
      <c r="K1717" s="8"/>
      <c r="L1717" s="8"/>
      <c r="M1717" s="8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  <c r="AG1717" s="8"/>
      <c r="AH1717" s="8"/>
      <c r="AI1717" s="8"/>
      <c r="AJ1717" s="8"/>
      <c r="AK1717" s="8"/>
      <c r="AL1717" s="8"/>
      <c r="AM1717" s="8"/>
      <c r="AN1717" s="8"/>
      <c r="AO1717" s="8"/>
      <c r="AP1717" s="8"/>
      <c r="AQ1717" s="8"/>
      <c r="AR1717" s="8"/>
      <c r="AS1717" s="8"/>
      <c r="AT1717" s="8"/>
      <c r="AU1717" s="8"/>
      <c r="AV1717" s="8"/>
      <c r="AW1717" s="8"/>
      <c r="AX1717" s="8"/>
      <c r="AY1717" s="8"/>
      <c r="AZ1717" s="10"/>
    </row>
    <row r="1718" spans="2:52" x14ac:dyDescent="0.35">
      <c r="B1718" s="7"/>
      <c r="C1718" s="8"/>
      <c r="D1718" s="8"/>
      <c r="E1718" s="8"/>
      <c r="F1718" s="8"/>
      <c r="G1718" s="8"/>
      <c r="H1718" s="8"/>
      <c r="I1718" s="8"/>
      <c r="J1718" s="8"/>
      <c r="K1718" s="8"/>
      <c r="L1718" s="8"/>
      <c r="M1718" s="8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  <c r="AG1718" s="8"/>
      <c r="AH1718" s="8"/>
      <c r="AI1718" s="8"/>
      <c r="AJ1718" s="8"/>
      <c r="AK1718" s="8"/>
      <c r="AL1718" s="8"/>
      <c r="AM1718" s="8"/>
      <c r="AN1718" s="8"/>
      <c r="AO1718" s="8"/>
      <c r="AP1718" s="8"/>
      <c r="AQ1718" s="8"/>
      <c r="AR1718" s="8"/>
      <c r="AS1718" s="8"/>
      <c r="AT1718" s="8"/>
      <c r="AU1718" s="8"/>
      <c r="AV1718" s="8"/>
      <c r="AW1718" s="8"/>
      <c r="AX1718" s="8"/>
      <c r="AY1718" s="8"/>
      <c r="AZ1718" s="10"/>
    </row>
    <row r="1719" spans="2:52" x14ac:dyDescent="0.35">
      <c r="B1719" s="7"/>
      <c r="C1719" s="8"/>
      <c r="D1719" s="8"/>
      <c r="E1719" s="8"/>
      <c r="F1719" s="8"/>
      <c r="G1719" s="8"/>
      <c r="H1719" s="8"/>
      <c r="I1719" s="8"/>
      <c r="J1719" s="8"/>
      <c r="K1719" s="8"/>
      <c r="L1719" s="8"/>
      <c r="M1719" s="8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  <c r="AG1719" s="8"/>
      <c r="AH1719" s="8"/>
      <c r="AI1719" s="8"/>
      <c r="AJ1719" s="8"/>
      <c r="AK1719" s="8"/>
      <c r="AL1719" s="8"/>
      <c r="AM1719" s="8"/>
      <c r="AN1719" s="8"/>
      <c r="AO1719" s="8"/>
      <c r="AP1719" s="8"/>
      <c r="AQ1719" s="8"/>
      <c r="AR1719" s="8"/>
      <c r="AS1719" s="8"/>
      <c r="AT1719" s="8"/>
      <c r="AU1719" s="8"/>
      <c r="AV1719" s="8"/>
      <c r="AW1719" s="8"/>
      <c r="AX1719" s="8"/>
      <c r="AY1719" s="8"/>
      <c r="AZ1719" s="10"/>
    </row>
    <row r="1720" spans="2:52" x14ac:dyDescent="0.35">
      <c r="B1720" s="7"/>
      <c r="C1720" s="8"/>
      <c r="D1720" s="8"/>
      <c r="E1720" s="8"/>
      <c r="F1720" s="8"/>
      <c r="G1720" s="8"/>
      <c r="H1720" s="8"/>
      <c r="I1720" s="8"/>
      <c r="J1720" s="8"/>
      <c r="K1720" s="8"/>
      <c r="L1720" s="8"/>
      <c r="M1720" s="8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  <c r="AG1720" s="8"/>
      <c r="AH1720" s="8"/>
      <c r="AI1720" s="8"/>
      <c r="AJ1720" s="8"/>
      <c r="AK1720" s="8"/>
      <c r="AL1720" s="8"/>
      <c r="AM1720" s="8"/>
      <c r="AN1720" s="8"/>
      <c r="AO1720" s="8"/>
      <c r="AP1720" s="8"/>
      <c r="AQ1720" s="8"/>
      <c r="AR1720" s="8"/>
      <c r="AS1720" s="8"/>
      <c r="AT1720" s="8"/>
      <c r="AU1720" s="8"/>
      <c r="AV1720" s="8"/>
      <c r="AW1720" s="8"/>
      <c r="AX1720" s="8"/>
      <c r="AY1720" s="8"/>
      <c r="AZ1720" s="10"/>
    </row>
    <row r="1721" spans="2:52" x14ac:dyDescent="0.35">
      <c r="B1721" s="7"/>
      <c r="C1721" s="8"/>
      <c r="D1721" s="8"/>
      <c r="E1721" s="8"/>
      <c r="F1721" s="8"/>
      <c r="G1721" s="8"/>
      <c r="H1721" s="8"/>
      <c r="I1721" s="8"/>
      <c r="J1721" s="8"/>
      <c r="K1721" s="8"/>
      <c r="L1721" s="8"/>
      <c r="M1721" s="8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  <c r="AG1721" s="8"/>
      <c r="AH1721" s="8"/>
      <c r="AI1721" s="8"/>
      <c r="AJ1721" s="8"/>
      <c r="AK1721" s="8"/>
      <c r="AL1721" s="8"/>
      <c r="AM1721" s="8"/>
      <c r="AN1721" s="8"/>
      <c r="AO1721" s="8"/>
      <c r="AP1721" s="8"/>
      <c r="AQ1721" s="8"/>
      <c r="AR1721" s="8"/>
      <c r="AS1721" s="8"/>
      <c r="AT1721" s="8"/>
      <c r="AU1721" s="8"/>
      <c r="AV1721" s="8"/>
      <c r="AW1721" s="8"/>
      <c r="AX1721" s="8"/>
      <c r="AY1721" s="8"/>
      <c r="AZ1721" s="10"/>
    </row>
    <row r="1722" spans="2:52" x14ac:dyDescent="0.35">
      <c r="B1722" s="7"/>
      <c r="C1722" s="8"/>
      <c r="D1722" s="8"/>
      <c r="E1722" s="8"/>
      <c r="F1722" s="8"/>
      <c r="G1722" s="8"/>
      <c r="H1722" s="8"/>
      <c r="I1722" s="8"/>
      <c r="J1722" s="8"/>
      <c r="K1722" s="8"/>
      <c r="L1722" s="8"/>
      <c r="M1722" s="8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  <c r="AD1722" s="8"/>
      <c r="AE1722" s="8"/>
      <c r="AF1722" s="8"/>
      <c r="AG1722" s="8"/>
      <c r="AH1722" s="8"/>
      <c r="AI1722" s="8"/>
      <c r="AJ1722" s="8"/>
      <c r="AK1722" s="8"/>
      <c r="AL1722" s="8"/>
      <c r="AM1722" s="8"/>
      <c r="AN1722" s="8"/>
      <c r="AO1722" s="8"/>
      <c r="AP1722" s="8"/>
      <c r="AQ1722" s="8"/>
      <c r="AR1722" s="8"/>
      <c r="AS1722" s="8"/>
      <c r="AT1722" s="8"/>
      <c r="AU1722" s="8"/>
      <c r="AV1722" s="8"/>
      <c r="AW1722" s="8"/>
      <c r="AX1722" s="8"/>
      <c r="AY1722" s="8"/>
      <c r="AZ1722" s="10"/>
    </row>
    <row r="1723" spans="2:52" x14ac:dyDescent="0.35">
      <c r="B1723" s="7"/>
      <c r="C1723" s="8"/>
      <c r="D1723" s="8"/>
      <c r="E1723" s="8"/>
      <c r="F1723" s="8"/>
      <c r="G1723" s="8"/>
      <c r="H1723" s="8"/>
      <c r="I1723" s="8"/>
      <c r="J1723" s="8"/>
      <c r="K1723" s="8"/>
      <c r="L1723" s="8"/>
      <c r="M1723" s="8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  <c r="AD1723" s="8"/>
      <c r="AE1723" s="8"/>
      <c r="AF1723" s="8"/>
      <c r="AG1723" s="8"/>
      <c r="AH1723" s="8"/>
      <c r="AI1723" s="8"/>
      <c r="AJ1723" s="8"/>
      <c r="AK1723" s="8"/>
      <c r="AL1723" s="8"/>
      <c r="AM1723" s="8"/>
      <c r="AN1723" s="8"/>
      <c r="AO1723" s="8"/>
      <c r="AP1723" s="8"/>
      <c r="AQ1723" s="8"/>
      <c r="AR1723" s="8"/>
      <c r="AS1723" s="8"/>
      <c r="AT1723" s="8"/>
      <c r="AU1723" s="8"/>
      <c r="AV1723" s="8"/>
      <c r="AW1723" s="8"/>
      <c r="AX1723" s="8"/>
      <c r="AY1723" s="8"/>
      <c r="AZ1723" s="10"/>
    </row>
    <row r="1724" spans="2:52" x14ac:dyDescent="0.35">
      <c r="B1724" s="7"/>
      <c r="C1724" s="8"/>
      <c r="D1724" s="8"/>
      <c r="E1724" s="8"/>
      <c r="F1724" s="8"/>
      <c r="G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  <c r="AD1724" s="8"/>
      <c r="AE1724" s="8"/>
      <c r="AF1724" s="8"/>
      <c r="AG1724" s="8"/>
      <c r="AH1724" s="8"/>
      <c r="AI1724" s="8"/>
      <c r="AJ1724" s="8"/>
      <c r="AK1724" s="8"/>
      <c r="AL1724" s="8"/>
      <c r="AM1724" s="8"/>
      <c r="AN1724" s="8"/>
      <c r="AO1724" s="8"/>
      <c r="AP1724" s="8"/>
      <c r="AQ1724" s="8"/>
      <c r="AR1724" s="8"/>
      <c r="AS1724" s="8"/>
      <c r="AT1724" s="8"/>
      <c r="AU1724" s="8"/>
      <c r="AV1724" s="8"/>
      <c r="AW1724" s="8"/>
      <c r="AX1724" s="8"/>
      <c r="AY1724" s="8"/>
      <c r="AZ1724" s="10"/>
    </row>
    <row r="1725" spans="2:52" x14ac:dyDescent="0.35">
      <c r="B1725" s="7"/>
      <c r="C1725" s="8"/>
      <c r="D1725" s="8"/>
      <c r="E1725" s="8"/>
      <c r="F1725" s="8"/>
      <c r="G1725" s="8"/>
      <c r="H1725" s="8"/>
      <c r="I1725" s="8"/>
      <c r="J1725" s="8"/>
      <c r="K1725" s="8"/>
      <c r="L1725" s="8"/>
      <c r="M1725" s="8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  <c r="AD1725" s="8"/>
      <c r="AE1725" s="8"/>
      <c r="AF1725" s="8"/>
      <c r="AG1725" s="8"/>
      <c r="AH1725" s="8"/>
      <c r="AI1725" s="8"/>
      <c r="AJ1725" s="8"/>
      <c r="AK1725" s="8"/>
      <c r="AL1725" s="8"/>
      <c r="AM1725" s="8"/>
      <c r="AN1725" s="8"/>
      <c r="AO1725" s="8"/>
      <c r="AP1725" s="8"/>
      <c r="AQ1725" s="8"/>
      <c r="AR1725" s="8"/>
      <c r="AS1725" s="8"/>
      <c r="AT1725" s="8"/>
      <c r="AU1725" s="8"/>
      <c r="AV1725" s="8"/>
      <c r="AW1725" s="8"/>
      <c r="AX1725" s="8"/>
      <c r="AY1725" s="8"/>
      <c r="AZ1725" s="10"/>
    </row>
    <row r="1726" spans="2:52" x14ac:dyDescent="0.35">
      <c r="B1726" s="7"/>
      <c r="C1726" s="8"/>
      <c r="D1726" s="8"/>
      <c r="E1726" s="8"/>
      <c r="F1726" s="8"/>
      <c r="G1726" s="8"/>
      <c r="H1726" s="8"/>
      <c r="I1726" s="8"/>
      <c r="J1726" s="8"/>
      <c r="K1726" s="8"/>
      <c r="L1726" s="8"/>
      <c r="M1726" s="8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  <c r="AD1726" s="8"/>
      <c r="AE1726" s="8"/>
      <c r="AF1726" s="8"/>
      <c r="AG1726" s="8"/>
      <c r="AH1726" s="8"/>
      <c r="AI1726" s="8"/>
      <c r="AJ1726" s="8"/>
      <c r="AK1726" s="8"/>
      <c r="AL1726" s="8"/>
      <c r="AM1726" s="8"/>
      <c r="AN1726" s="8"/>
      <c r="AO1726" s="8"/>
      <c r="AP1726" s="8"/>
      <c r="AQ1726" s="8"/>
      <c r="AR1726" s="8"/>
      <c r="AS1726" s="8"/>
      <c r="AT1726" s="8"/>
      <c r="AU1726" s="8"/>
      <c r="AV1726" s="8"/>
      <c r="AW1726" s="8"/>
      <c r="AX1726" s="8"/>
      <c r="AY1726" s="8"/>
      <c r="AZ1726" s="10"/>
    </row>
    <row r="1727" spans="2:52" x14ac:dyDescent="0.35">
      <c r="B1727" s="7"/>
      <c r="C1727" s="8"/>
      <c r="D1727" s="8"/>
      <c r="E1727" s="8"/>
      <c r="F1727" s="8"/>
      <c r="G1727" s="8"/>
      <c r="H1727" s="8"/>
      <c r="I1727" s="8"/>
      <c r="J1727" s="8"/>
      <c r="K1727" s="8"/>
      <c r="L1727" s="8"/>
      <c r="M1727" s="8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  <c r="AD1727" s="8"/>
      <c r="AE1727" s="8"/>
      <c r="AF1727" s="8"/>
      <c r="AG1727" s="8"/>
      <c r="AH1727" s="8"/>
      <c r="AI1727" s="8"/>
      <c r="AJ1727" s="8"/>
      <c r="AK1727" s="8"/>
      <c r="AL1727" s="8"/>
      <c r="AM1727" s="8"/>
      <c r="AN1727" s="8"/>
      <c r="AO1727" s="8"/>
      <c r="AP1727" s="8"/>
      <c r="AQ1727" s="8"/>
      <c r="AR1727" s="8"/>
      <c r="AS1727" s="8"/>
      <c r="AT1727" s="8"/>
      <c r="AU1727" s="8"/>
      <c r="AV1727" s="8"/>
      <c r="AW1727" s="8"/>
      <c r="AX1727" s="8"/>
      <c r="AY1727" s="8"/>
      <c r="AZ1727" s="10"/>
    </row>
    <row r="1728" spans="2:52" x14ac:dyDescent="0.35">
      <c r="B1728" s="7"/>
      <c r="C1728" s="8"/>
      <c r="D1728" s="8"/>
      <c r="E1728" s="8"/>
      <c r="F1728" s="8"/>
      <c r="G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  <c r="AD1728" s="8"/>
      <c r="AE1728" s="8"/>
      <c r="AF1728" s="8"/>
      <c r="AG1728" s="8"/>
      <c r="AH1728" s="8"/>
      <c r="AI1728" s="8"/>
      <c r="AJ1728" s="8"/>
      <c r="AK1728" s="8"/>
      <c r="AL1728" s="8"/>
      <c r="AM1728" s="8"/>
      <c r="AN1728" s="8"/>
      <c r="AO1728" s="8"/>
      <c r="AP1728" s="8"/>
      <c r="AQ1728" s="8"/>
      <c r="AR1728" s="8"/>
      <c r="AS1728" s="8"/>
      <c r="AT1728" s="8"/>
      <c r="AU1728" s="8"/>
      <c r="AV1728" s="8"/>
      <c r="AW1728" s="8"/>
      <c r="AX1728" s="8"/>
      <c r="AY1728" s="8"/>
      <c r="AZ1728" s="10"/>
    </row>
    <row r="1729" spans="2:52" x14ac:dyDescent="0.35">
      <c r="B1729" s="7"/>
      <c r="C1729" s="8"/>
      <c r="D1729" s="8"/>
      <c r="E1729" s="8"/>
      <c r="F1729" s="8"/>
      <c r="G1729" s="8"/>
      <c r="H1729" s="8"/>
      <c r="I1729" s="8"/>
      <c r="J1729" s="8"/>
      <c r="K1729" s="8"/>
      <c r="L1729" s="8"/>
      <c r="M1729" s="8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  <c r="AD1729" s="8"/>
      <c r="AE1729" s="8"/>
      <c r="AF1729" s="8"/>
      <c r="AG1729" s="8"/>
      <c r="AH1729" s="8"/>
      <c r="AI1729" s="8"/>
      <c r="AJ1729" s="8"/>
      <c r="AK1729" s="8"/>
      <c r="AL1729" s="8"/>
      <c r="AM1729" s="8"/>
      <c r="AN1729" s="8"/>
      <c r="AO1729" s="8"/>
      <c r="AP1729" s="8"/>
      <c r="AQ1729" s="8"/>
      <c r="AR1729" s="8"/>
      <c r="AS1729" s="8"/>
      <c r="AT1729" s="8"/>
      <c r="AU1729" s="8"/>
      <c r="AV1729" s="8"/>
      <c r="AW1729" s="8"/>
      <c r="AX1729" s="8"/>
      <c r="AY1729" s="8"/>
      <c r="AZ1729" s="10"/>
    </row>
    <row r="1730" spans="2:52" x14ac:dyDescent="0.35">
      <c r="B1730" s="7"/>
      <c r="C1730" s="8"/>
      <c r="D1730" s="8"/>
      <c r="E1730" s="8"/>
      <c r="F1730" s="8"/>
      <c r="G1730" s="8"/>
      <c r="H1730" s="8"/>
      <c r="I1730" s="8"/>
      <c r="J1730" s="8"/>
      <c r="K1730" s="8"/>
      <c r="L1730" s="8"/>
      <c r="M1730" s="8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8"/>
      <c r="AE1730" s="8"/>
      <c r="AF1730" s="8"/>
      <c r="AG1730" s="8"/>
      <c r="AH1730" s="8"/>
      <c r="AI1730" s="8"/>
      <c r="AJ1730" s="8"/>
      <c r="AK1730" s="8"/>
      <c r="AL1730" s="8"/>
      <c r="AM1730" s="8"/>
      <c r="AN1730" s="8"/>
      <c r="AO1730" s="8"/>
      <c r="AP1730" s="8"/>
      <c r="AQ1730" s="8"/>
      <c r="AR1730" s="8"/>
      <c r="AS1730" s="8"/>
      <c r="AT1730" s="8"/>
      <c r="AU1730" s="8"/>
      <c r="AV1730" s="8"/>
      <c r="AW1730" s="8"/>
      <c r="AX1730" s="8"/>
      <c r="AY1730" s="8"/>
      <c r="AZ1730" s="10"/>
    </row>
    <row r="1731" spans="2:52" x14ac:dyDescent="0.35">
      <c r="B1731" s="7"/>
      <c r="C1731" s="8"/>
      <c r="D1731" s="8"/>
      <c r="E1731" s="8"/>
      <c r="F1731" s="8"/>
      <c r="G1731" s="8"/>
      <c r="H1731" s="8"/>
      <c r="I1731" s="8"/>
      <c r="J1731" s="8"/>
      <c r="K1731" s="8"/>
      <c r="L1731" s="8"/>
      <c r="M1731" s="8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8"/>
      <c r="AE1731" s="8"/>
      <c r="AF1731" s="8"/>
      <c r="AG1731" s="8"/>
      <c r="AH1731" s="8"/>
      <c r="AI1731" s="8"/>
      <c r="AJ1731" s="8"/>
      <c r="AK1731" s="8"/>
      <c r="AL1731" s="8"/>
      <c r="AM1731" s="8"/>
      <c r="AN1731" s="8"/>
      <c r="AO1731" s="8"/>
      <c r="AP1731" s="8"/>
      <c r="AQ1731" s="8"/>
      <c r="AR1731" s="8"/>
      <c r="AS1731" s="8"/>
      <c r="AT1731" s="8"/>
      <c r="AU1731" s="8"/>
      <c r="AV1731" s="8"/>
      <c r="AW1731" s="8"/>
      <c r="AX1731" s="8"/>
      <c r="AY1731" s="8"/>
      <c r="AZ1731" s="10"/>
    </row>
    <row r="1732" spans="2:52" x14ac:dyDescent="0.35">
      <c r="B1732" s="7"/>
      <c r="C1732" s="8"/>
      <c r="D1732" s="8"/>
      <c r="E1732" s="8"/>
      <c r="F1732" s="8"/>
      <c r="G1732" s="8"/>
      <c r="H1732" s="8"/>
      <c r="I1732" s="8"/>
      <c r="J1732" s="8"/>
      <c r="K1732" s="8"/>
      <c r="L1732" s="8"/>
      <c r="M1732" s="8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8"/>
      <c r="AE1732" s="8"/>
      <c r="AF1732" s="8"/>
      <c r="AG1732" s="8"/>
      <c r="AH1732" s="8"/>
      <c r="AI1732" s="8"/>
      <c r="AJ1732" s="8"/>
      <c r="AK1732" s="8"/>
      <c r="AL1732" s="8"/>
      <c r="AM1732" s="8"/>
      <c r="AN1732" s="8"/>
      <c r="AO1732" s="8"/>
      <c r="AP1732" s="8"/>
      <c r="AQ1732" s="8"/>
      <c r="AR1732" s="8"/>
      <c r="AS1732" s="8"/>
      <c r="AT1732" s="8"/>
      <c r="AU1732" s="8"/>
      <c r="AV1732" s="8"/>
      <c r="AW1732" s="8"/>
      <c r="AX1732" s="8"/>
      <c r="AY1732" s="8"/>
      <c r="AZ1732" s="10"/>
    </row>
    <row r="1733" spans="2:52" x14ac:dyDescent="0.35">
      <c r="B1733" s="7"/>
      <c r="C1733" s="8"/>
      <c r="D1733" s="8"/>
      <c r="E1733" s="8"/>
      <c r="F1733" s="8"/>
      <c r="G1733" s="8"/>
      <c r="H1733" s="8"/>
      <c r="I1733" s="8"/>
      <c r="J1733" s="8"/>
      <c r="K1733" s="8"/>
      <c r="L1733" s="8"/>
      <c r="M1733" s="8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  <c r="AD1733" s="8"/>
      <c r="AE1733" s="8"/>
      <c r="AF1733" s="8"/>
      <c r="AG1733" s="8"/>
      <c r="AH1733" s="8"/>
      <c r="AI1733" s="8"/>
      <c r="AJ1733" s="8"/>
      <c r="AK1733" s="8"/>
      <c r="AL1733" s="8"/>
      <c r="AM1733" s="8"/>
      <c r="AN1733" s="8"/>
      <c r="AO1733" s="8"/>
      <c r="AP1733" s="8"/>
      <c r="AQ1733" s="8"/>
      <c r="AR1733" s="8"/>
      <c r="AS1733" s="8"/>
      <c r="AT1733" s="8"/>
      <c r="AU1733" s="8"/>
      <c r="AV1733" s="8"/>
      <c r="AW1733" s="8"/>
      <c r="AX1733" s="8"/>
      <c r="AY1733" s="8"/>
      <c r="AZ1733" s="10"/>
    </row>
    <row r="1734" spans="2:52" x14ac:dyDescent="0.35">
      <c r="B1734" s="7"/>
      <c r="C1734" s="8"/>
      <c r="D1734" s="8"/>
      <c r="E1734" s="8"/>
      <c r="F1734" s="8"/>
      <c r="G1734" s="8"/>
      <c r="H1734" s="8"/>
      <c r="I1734" s="8"/>
      <c r="J1734" s="8"/>
      <c r="K1734" s="8"/>
      <c r="L1734" s="8"/>
      <c r="M1734" s="8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  <c r="AD1734" s="8"/>
      <c r="AE1734" s="8"/>
      <c r="AF1734" s="8"/>
      <c r="AG1734" s="8"/>
      <c r="AH1734" s="8"/>
      <c r="AI1734" s="8"/>
      <c r="AJ1734" s="8"/>
      <c r="AK1734" s="8"/>
      <c r="AL1734" s="8"/>
      <c r="AM1734" s="8"/>
      <c r="AN1734" s="8"/>
      <c r="AO1734" s="8"/>
      <c r="AP1734" s="8"/>
      <c r="AQ1734" s="8"/>
      <c r="AR1734" s="8"/>
      <c r="AS1734" s="8"/>
      <c r="AT1734" s="8"/>
      <c r="AU1734" s="8"/>
      <c r="AV1734" s="8"/>
      <c r="AW1734" s="8"/>
      <c r="AX1734" s="8"/>
      <c r="AY1734" s="8"/>
      <c r="AZ1734" s="10"/>
    </row>
    <row r="1735" spans="2:52" x14ac:dyDescent="0.35">
      <c r="B1735" s="7"/>
      <c r="C1735" s="8"/>
      <c r="D1735" s="8"/>
      <c r="E1735" s="8"/>
      <c r="F1735" s="8"/>
      <c r="G1735" s="8"/>
      <c r="H1735" s="8"/>
      <c r="I1735" s="8"/>
      <c r="J1735" s="8"/>
      <c r="K1735" s="8"/>
      <c r="L1735" s="8"/>
      <c r="M1735" s="8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  <c r="AD1735" s="8"/>
      <c r="AE1735" s="8"/>
      <c r="AF1735" s="8"/>
      <c r="AG1735" s="8"/>
      <c r="AH1735" s="8"/>
      <c r="AI1735" s="8"/>
      <c r="AJ1735" s="8"/>
      <c r="AK1735" s="8"/>
      <c r="AL1735" s="8"/>
      <c r="AM1735" s="8"/>
      <c r="AN1735" s="8"/>
      <c r="AO1735" s="8"/>
      <c r="AP1735" s="8"/>
      <c r="AQ1735" s="8"/>
      <c r="AR1735" s="8"/>
      <c r="AS1735" s="8"/>
      <c r="AT1735" s="8"/>
      <c r="AU1735" s="8"/>
      <c r="AV1735" s="8"/>
      <c r="AW1735" s="8"/>
      <c r="AX1735" s="8"/>
      <c r="AY1735" s="8"/>
      <c r="AZ1735" s="10"/>
    </row>
    <row r="1736" spans="2:52" x14ac:dyDescent="0.35">
      <c r="B1736" s="7"/>
      <c r="C1736" s="8"/>
      <c r="D1736" s="8"/>
      <c r="E1736" s="8"/>
      <c r="F1736" s="8"/>
      <c r="G1736" s="8"/>
      <c r="H1736" s="8"/>
      <c r="I1736" s="8"/>
      <c r="J1736" s="8"/>
      <c r="K1736" s="8"/>
      <c r="L1736" s="8"/>
      <c r="M1736" s="8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8"/>
      <c r="AE1736" s="8"/>
      <c r="AF1736" s="8"/>
      <c r="AG1736" s="8"/>
      <c r="AH1736" s="8"/>
      <c r="AI1736" s="8"/>
      <c r="AJ1736" s="8"/>
      <c r="AK1736" s="8"/>
      <c r="AL1736" s="8"/>
      <c r="AM1736" s="8"/>
      <c r="AN1736" s="8"/>
      <c r="AO1736" s="8"/>
      <c r="AP1736" s="8"/>
      <c r="AQ1736" s="8"/>
      <c r="AR1736" s="8"/>
      <c r="AS1736" s="8"/>
      <c r="AT1736" s="8"/>
      <c r="AU1736" s="8"/>
      <c r="AV1736" s="8"/>
      <c r="AW1736" s="8"/>
      <c r="AX1736" s="8"/>
      <c r="AY1736" s="8"/>
      <c r="AZ1736" s="10"/>
    </row>
    <row r="1737" spans="2:52" x14ac:dyDescent="0.35">
      <c r="B1737" s="7"/>
      <c r="C1737" s="8"/>
      <c r="D1737" s="8"/>
      <c r="E1737" s="8"/>
      <c r="F1737" s="8"/>
      <c r="G1737" s="8"/>
      <c r="H1737" s="8"/>
      <c r="I1737" s="8"/>
      <c r="J1737" s="8"/>
      <c r="K1737" s="8"/>
      <c r="L1737" s="8"/>
      <c r="M1737" s="8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8"/>
      <c r="AE1737" s="8"/>
      <c r="AF1737" s="8"/>
      <c r="AG1737" s="8"/>
      <c r="AH1737" s="8"/>
      <c r="AI1737" s="8"/>
      <c r="AJ1737" s="8"/>
      <c r="AK1737" s="8"/>
      <c r="AL1737" s="8"/>
      <c r="AM1737" s="8"/>
      <c r="AN1737" s="8"/>
      <c r="AO1737" s="8"/>
      <c r="AP1737" s="8"/>
      <c r="AQ1737" s="8"/>
      <c r="AR1737" s="8"/>
      <c r="AS1737" s="8"/>
      <c r="AT1737" s="8"/>
      <c r="AU1737" s="8"/>
      <c r="AV1737" s="8"/>
      <c r="AW1737" s="8"/>
      <c r="AX1737" s="8"/>
      <c r="AY1737" s="8"/>
      <c r="AZ1737" s="10"/>
    </row>
    <row r="1738" spans="2:52" x14ac:dyDescent="0.35">
      <c r="B1738" s="7"/>
      <c r="C1738" s="8"/>
      <c r="D1738" s="8"/>
      <c r="E1738" s="8"/>
      <c r="F1738" s="8"/>
      <c r="G1738" s="8"/>
      <c r="H1738" s="8"/>
      <c r="I1738" s="8"/>
      <c r="J1738" s="8"/>
      <c r="K1738" s="8"/>
      <c r="L1738" s="8"/>
      <c r="M1738" s="8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  <c r="AD1738" s="8"/>
      <c r="AE1738" s="8"/>
      <c r="AF1738" s="8"/>
      <c r="AG1738" s="8"/>
      <c r="AH1738" s="8"/>
      <c r="AI1738" s="8"/>
      <c r="AJ1738" s="8"/>
      <c r="AK1738" s="8"/>
      <c r="AL1738" s="8"/>
      <c r="AM1738" s="8"/>
      <c r="AN1738" s="8"/>
      <c r="AO1738" s="8"/>
      <c r="AP1738" s="8"/>
      <c r="AQ1738" s="8"/>
      <c r="AR1738" s="8"/>
      <c r="AS1738" s="8"/>
      <c r="AT1738" s="8"/>
      <c r="AU1738" s="8"/>
      <c r="AV1738" s="8"/>
      <c r="AW1738" s="8"/>
      <c r="AX1738" s="8"/>
      <c r="AY1738" s="8"/>
      <c r="AZ1738" s="10"/>
    </row>
    <row r="1739" spans="2:52" x14ac:dyDescent="0.35">
      <c r="B1739" s="7"/>
      <c r="C1739" s="8"/>
      <c r="D1739" s="8"/>
      <c r="E1739" s="8"/>
      <c r="F1739" s="8"/>
      <c r="G1739" s="8"/>
      <c r="H1739" s="8"/>
      <c r="I1739" s="8"/>
      <c r="J1739" s="8"/>
      <c r="K1739" s="8"/>
      <c r="L1739" s="8"/>
      <c r="M1739" s="8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  <c r="AD1739" s="8"/>
      <c r="AE1739" s="8"/>
      <c r="AF1739" s="8"/>
      <c r="AG1739" s="8"/>
      <c r="AH1739" s="8"/>
      <c r="AI1739" s="8"/>
      <c r="AJ1739" s="8"/>
      <c r="AK1739" s="8"/>
      <c r="AL1739" s="8"/>
      <c r="AM1739" s="8"/>
      <c r="AN1739" s="8"/>
      <c r="AO1739" s="8"/>
      <c r="AP1739" s="8"/>
      <c r="AQ1739" s="8"/>
      <c r="AR1739" s="8"/>
      <c r="AS1739" s="8"/>
      <c r="AT1739" s="8"/>
      <c r="AU1739" s="8"/>
      <c r="AV1739" s="8"/>
      <c r="AW1739" s="8"/>
      <c r="AX1739" s="8"/>
      <c r="AY1739" s="8"/>
      <c r="AZ1739" s="10"/>
    </row>
    <row r="1740" spans="2:52" x14ac:dyDescent="0.35">
      <c r="B1740" s="7"/>
      <c r="C1740" s="8"/>
      <c r="D1740" s="8"/>
      <c r="E1740" s="8"/>
      <c r="F1740" s="8"/>
      <c r="G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  <c r="AD1740" s="8"/>
      <c r="AE1740" s="8"/>
      <c r="AF1740" s="8"/>
      <c r="AG1740" s="8"/>
      <c r="AH1740" s="8"/>
      <c r="AI1740" s="8"/>
      <c r="AJ1740" s="8"/>
      <c r="AK1740" s="8"/>
      <c r="AL1740" s="8"/>
      <c r="AM1740" s="8"/>
      <c r="AN1740" s="8"/>
      <c r="AO1740" s="8"/>
      <c r="AP1740" s="8"/>
      <c r="AQ1740" s="8"/>
      <c r="AR1740" s="8"/>
      <c r="AS1740" s="8"/>
      <c r="AT1740" s="8"/>
      <c r="AU1740" s="8"/>
      <c r="AV1740" s="8"/>
      <c r="AW1740" s="8"/>
      <c r="AX1740" s="8"/>
      <c r="AY1740" s="8"/>
      <c r="AZ1740" s="10"/>
    </row>
    <row r="1741" spans="2:52" x14ac:dyDescent="0.35">
      <c r="B1741" s="7"/>
      <c r="C1741" s="8"/>
      <c r="D1741" s="8"/>
      <c r="E1741" s="8"/>
      <c r="F1741" s="8"/>
      <c r="G1741" s="8"/>
      <c r="H1741" s="8"/>
      <c r="I1741" s="8"/>
      <c r="J1741" s="8"/>
      <c r="K1741" s="8"/>
      <c r="L1741" s="8"/>
      <c r="M1741" s="8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  <c r="AD1741" s="8"/>
      <c r="AE1741" s="8"/>
      <c r="AF1741" s="8"/>
      <c r="AG1741" s="8"/>
      <c r="AH1741" s="8"/>
      <c r="AI1741" s="8"/>
      <c r="AJ1741" s="8"/>
      <c r="AK1741" s="8"/>
      <c r="AL1741" s="8"/>
      <c r="AM1741" s="8"/>
      <c r="AN1741" s="8"/>
      <c r="AO1741" s="8"/>
      <c r="AP1741" s="8"/>
      <c r="AQ1741" s="8"/>
      <c r="AR1741" s="8"/>
      <c r="AS1741" s="8"/>
      <c r="AT1741" s="8"/>
      <c r="AU1741" s="8"/>
      <c r="AV1741" s="8"/>
      <c r="AW1741" s="8"/>
      <c r="AX1741" s="8"/>
      <c r="AY1741" s="8"/>
      <c r="AZ1741" s="10"/>
    </row>
    <row r="1742" spans="2:52" x14ac:dyDescent="0.35">
      <c r="B1742" s="7"/>
      <c r="C1742" s="8"/>
      <c r="D1742" s="8"/>
      <c r="E1742" s="8"/>
      <c r="F1742" s="8"/>
      <c r="G1742" s="8"/>
      <c r="H1742" s="8"/>
      <c r="I1742" s="8"/>
      <c r="J1742" s="8"/>
      <c r="K1742" s="8"/>
      <c r="L1742" s="8"/>
      <c r="M1742" s="8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  <c r="AD1742" s="8"/>
      <c r="AE1742" s="8"/>
      <c r="AF1742" s="8"/>
      <c r="AG1742" s="8"/>
      <c r="AH1742" s="8"/>
      <c r="AI1742" s="8"/>
      <c r="AJ1742" s="8"/>
      <c r="AK1742" s="8"/>
      <c r="AL1742" s="8"/>
      <c r="AM1742" s="8"/>
      <c r="AN1742" s="8"/>
      <c r="AO1742" s="8"/>
      <c r="AP1742" s="8"/>
      <c r="AQ1742" s="8"/>
      <c r="AR1742" s="8"/>
      <c r="AS1742" s="8"/>
      <c r="AT1742" s="8"/>
      <c r="AU1742" s="8"/>
      <c r="AV1742" s="8"/>
      <c r="AW1742" s="8"/>
      <c r="AX1742" s="8"/>
      <c r="AY1742" s="8"/>
      <c r="AZ1742" s="10"/>
    </row>
    <row r="1743" spans="2:52" x14ac:dyDescent="0.35">
      <c r="B1743" s="7"/>
      <c r="C1743" s="8"/>
      <c r="D1743" s="8"/>
      <c r="E1743" s="8"/>
      <c r="F1743" s="8"/>
      <c r="G1743" s="8"/>
      <c r="H1743" s="8"/>
      <c r="I1743" s="8"/>
      <c r="J1743" s="8"/>
      <c r="K1743" s="8"/>
      <c r="L1743" s="8"/>
      <c r="M1743" s="8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  <c r="AD1743" s="8"/>
      <c r="AE1743" s="8"/>
      <c r="AF1743" s="8"/>
      <c r="AG1743" s="8"/>
      <c r="AH1743" s="8"/>
      <c r="AI1743" s="8"/>
      <c r="AJ1743" s="8"/>
      <c r="AK1743" s="8"/>
      <c r="AL1743" s="8"/>
      <c r="AM1743" s="8"/>
      <c r="AN1743" s="8"/>
      <c r="AO1743" s="8"/>
      <c r="AP1743" s="8"/>
      <c r="AQ1743" s="8"/>
      <c r="AR1743" s="8"/>
      <c r="AS1743" s="8"/>
      <c r="AT1743" s="8"/>
      <c r="AU1743" s="8"/>
      <c r="AV1743" s="8"/>
      <c r="AW1743" s="8"/>
      <c r="AX1743" s="8"/>
      <c r="AY1743" s="8"/>
      <c r="AZ1743" s="10"/>
    </row>
    <row r="1744" spans="2:52" x14ac:dyDescent="0.35">
      <c r="B1744" s="7"/>
      <c r="C1744" s="8"/>
      <c r="D1744" s="8"/>
      <c r="E1744" s="8"/>
      <c r="F1744" s="8"/>
      <c r="G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  <c r="AD1744" s="8"/>
      <c r="AE1744" s="8"/>
      <c r="AF1744" s="8"/>
      <c r="AG1744" s="8"/>
      <c r="AH1744" s="8"/>
      <c r="AI1744" s="8"/>
      <c r="AJ1744" s="8"/>
      <c r="AK1744" s="8"/>
      <c r="AL1744" s="8"/>
      <c r="AM1744" s="8"/>
      <c r="AN1744" s="8"/>
      <c r="AO1744" s="8"/>
      <c r="AP1744" s="8"/>
      <c r="AQ1744" s="8"/>
      <c r="AR1744" s="8"/>
      <c r="AS1744" s="8"/>
      <c r="AT1744" s="8"/>
      <c r="AU1744" s="8"/>
      <c r="AV1744" s="8"/>
      <c r="AW1744" s="8"/>
      <c r="AX1744" s="8"/>
      <c r="AY1744" s="8"/>
      <c r="AZ1744" s="10"/>
    </row>
    <row r="1745" spans="2:52" x14ac:dyDescent="0.35">
      <c r="B1745" s="7"/>
      <c r="C1745" s="8"/>
      <c r="D1745" s="8"/>
      <c r="E1745" s="8"/>
      <c r="F1745" s="8"/>
      <c r="G1745" s="8"/>
      <c r="H1745" s="8"/>
      <c r="I1745" s="8"/>
      <c r="J1745" s="8"/>
      <c r="K1745" s="8"/>
      <c r="L1745" s="8"/>
      <c r="M1745" s="8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  <c r="AD1745" s="8"/>
      <c r="AE1745" s="8"/>
      <c r="AF1745" s="8"/>
      <c r="AG1745" s="8"/>
      <c r="AH1745" s="8"/>
      <c r="AI1745" s="8"/>
      <c r="AJ1745" s="8"/>
      <c r="AK1745" s="8"/>
      <c r="AL1745" s="8"/>
      <c r="AM1745" s="8"/>
      <c r="AN1745" s="8"/>
      <c r="AO1745" s="8"/>
      <c r="AP1745" s="8"/>
      <c r="AQ1745" s="8"/>
      <c r="AR1745" s="8"/>
      <c r="AS1745" s="8"/>
      <c r="AT1745" s="8"/>
      <c r="AU1745" s="8"/>
      <c r="AV1745" s="8"/>
      <c r="AW1745" s="8"/>
      <c r="AX1745" s="8"/>
      <c r="AY1745" s="8"/>
      <c r="AZ1745" s="10"/>
    </row>
    <row r="1746" spans="2:52" x14ac:dyDescent="0.35">
      <c r="B1746" s="7"/>
      <c r="C1746" s="8"/>
      <c r="D1746" s="8"/>
      <c r="E1746" s="8"/>
      <c r="F1746" s="8"/>
      <c r="G1746" s="8"/>
      <c r="H1746" s="8"/>
      <c r="I1746" s="8"/>
      <c r="J1746" s="8"/>
      <c r="K1746" s="8"/>
      <c r="L1746" s="8"/>
      <c r="M1746" s="8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  <c r="AD1746" s="8"/>
      <c r="AE1746" s="8"/>
      <c r="AF1746" s="8"/>
      <c r="AG1746" s="8"/>
      <c r="AH1746" s="8"/>
      <c r="AI1746" s="8"/>
      <c r="AJ1746" s="8"/>
      <c r="AK1746" s="8"/>
      <c r="AL1746" s="8"/>
      <c r="AM1746" s="8"/>
      <c r="AN1746" s="8"/>
      <c r="AO1746" s="8"/>
      <c r="AP1746" s="8"/>
      <c r="AQ1746" s="8"/>
      <c r="AR1746" s="8"/>
      <c r="AS1746" s="8"/>
      <c r="AT1746" s="8"/>
      <c r="AU1746" s="8"/>
      <c r="AV1746" s="8"/>
      <c r="AW1746" s="8"/>
      <c r="AX1746" s="8"/>
      <c r="AY1746" s="8"/>
      <c r="AZ1746" s="10"/>
    </row>
    <row r="1747" spans="2:52" x14ac:dyDescent="0.35">
      <c r="B1747" s="7"/>
      <c r="C1747" s="8"/>
      <c r="D1747" s="8"/>
      <c r="E1747" s="8"/>
      <c r="F1747" s="8"/>
      <c r="G1747" s="8"/>
      <c r="H1747" s="8"/>
      <c r="I1747" s="8"/>
      <c r="J1747" s="8"/>
      <c r="K1747" s="8"/>
      <c r="L1747" s="8"/>
      <c r="M1747" s="8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  <c r="AD1747" s="8"/>
      <c r="AE1747" s="8"/>
      <c r="AF1747" s="8"/>
      <c r="AG1747" s="8"/>
      <c r="AH1747" s="8"/>
      <c r="AI1747" s="8"/>
      <c r="AJ1747" s="8"/>
      <c r="AK1747" s="8"/>
      <c r="AL1747" s="8"/>
      <c r="AM1747" s="8"/>
      <c r="AN1747" s="8"/>
      <c r="AO1747" s="8"/>
      <c r="AP1747" s="8"/>
      <c r="AQ1747" s="8"/>
      <c r="AR1747" s="8"/>
      <c r="AS1747" s="8"/>
      <c r="AT1747" s="8"/>
      <c r="AU1747" s="8"/>
      <c r="AV1747" s="8"/>
      <c r="AW1747" s="8"/>
      <c r="AX1747" s="8"/>
      <c r="AY1747" s="8"/>
      <c r="AZ1747" s="10"/>
    </row>
    <row r="1748" spans="2:52" x14ac:dyDescent="0.35">
      <c r="B1748" s="7"/>
      <c r="C1748" s="8"/>
      <c r="D1748" s="8"/>
      <c r="E1748" s="8"/>
      <c r="F1748" s="8"/>
      <c r="G1748" s="8"/>
      <c r="H1748" s="8"/>
      <c r="I1748" s="8"/>
      <c r="J1748" s="8"/>
      <c r="K1748" s="8"/>
      <c r="L1748" s="8"/>
      <c r="M1748" s="8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  <c r="AD1748" s="8"/>
      <c r="AE1748" s="8"/>
      <c r="AF1748" s="8"/>
      <c r="AG1748" s="8"/>
      <c r="AH1748" s="8"/>
      <c r="AI1748" s="8"/>
      <c r="AJ1748" s="8"/>
      <c r="AK1748" s="8"/>
      <c r="AL1748" s="8"/>
      <c r="AM1748" s="8"/>
      <c r="AN1748" s="8"/>
      <c r="AO1748" s="8"/>
      <c r="AP1748" s="8"/>
      <c r="AQ1748" s="8"/>
      <c r="AR1748" s="8"/>
      <c r="AS1748" s="8"/>
      <c r="AT1748" s="8"/>
      <c r="AU1748" s="8"/>
      <c r="AV1748" s="8"/>
      <c r="AW1748" s="8"/>
      <c r="AX1748" s="8"/>
      <c r="AY1748" s="8"/>
      <c r="AZ1748" s="10"/>
    </row>
    <row r="1749" spans="2:52" x14ac:dyDescent="0.35">
      <c r="B1749" s="7"/>
      <c r="C1749" s="8"/>
      <c r="D1749" s="8"/>
      <c r="E1749" s="8"/>
      <c r="F1749" s="8"/>
      <c r="G1749" s="8"/>
      <c r="H1749" s="8"/>
      <c r="I1749" s="8"/>
      <c r="J1749" s="8"/>
      <c r="K1749" s="8"/>
      <c r="L1749" s="8"/>
      <c r="M1749" s="8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  <c r="AD1749" s="8"/>
      <c r="AE1749" s="8"/>
      <c r="AF1749" s="8"/>
      <c r="AG1749" s="8"/>
      <c r="AH1749" s="8"/>
      <c r="AI1749" s="8"/>
      <c r="AJ1749" s="8"/>
      <c r="AK1749" s="8"/>
      <c r="AL1749" s="8"/>
      <c r="AM1749" s="8"/>
      <c r="AN1749" s="8"/>
      <c r="AO1749" s="8"/>
      <c r="AP1749" s="8"/>
      <c r="AQ1749" s="8"/>
      <c r="AR1749" s="8"/>
      <c r="AS1749" s="8"/>
      <c r="AT1749" s="8"/>
      <c r="AU1749" s="8"/>
      <c r="AV1749" s="8"/>
      <c r="AW1749" s="8"/>
      <c r="AX1749" s="8"/>
      <c r="AY1749" s="8"/>
      <c r="AZ1749" s="10"/>
    </row>
    <row r="1750" spans="2:52" x14ac:dyDescent="0.35">
      <c r="B1750" s="7"/>
      <c r="C1750" s="8"/>
      <c r="D1750" s="8"/>
      <c r="E1750" s="8"/>
      <c r="F1750" s="8"/>
      <c r="G1750" s="8"/>
      <c r="H1750" s="8"/>
      <c r="I1750" s="8"/>
      <c r="J1750" s="8"/>
      <c r="K1750" s="8"/>
      <c r="L1750" s="8"/>
      <c r="M1750" s="8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8"/>
      <c r="AE1750" s="8"/>
      <c r="AF1750" s="8"/>
      <c r="AG1750" s="8"/>
      <c r="AH1750" s="8"/>
      <c r="AI1750" s="8"/>
      <c r="AJ1750" s="8"/>
      <c r="AK1750" s="8"/>
      <c r="AL1750" s="8"/>
      <c r="AM1750" s="8"/>
      <c r="AN1750" s="8"/>
      <c r="AO1750" s="8"/>
      <c r="AP1750" s="8"/>
      <c r="AQ1750" s="8"/>
      <c r="AR1750" s="8"/>
      <c r="AS1750" s="8"/>
      <c r="AT1750" s="8"/>
      <c r="AU1750" s="8"/>
      <c r="AV1750" s="8"/>
      <c r="AW1750" s="8"/>
      <c r="AX1750" s="8"/>
      <c r="AY1750" s="8"/>
      <c r="AZ1750" s="10"/>
    </row>
    <row r="1751" spans="2:52" x14ac:dyDescent="0.35">
      <c r="B1751" s="7"/>
      <c r="C1751" s="8"/>
      <c r="D1751" s="8"/>
      <c r="E1751" s="8"/>
      <c r="F1751" s="8"/>
      <c r="G1751" s="8"/>
      <c r="H1751" s="8"/>
      <c r="I1751" s="8"/>
      <c r="J1751" s="8"/>
      <c r="K1751" s="8"/>
      <c r="L1751" s="8"/>
      <c r="M1751" s="8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  <c r="AD1751" s="8"/>
      <c r="AE1751" s="8"/>
      <c r="AF1751" s="8"/>
      <c r="AG1751" s="8"/>
      <c r="AH1751" s="8"/>
      <c r="AI1751" s="8"/>
      <c r="AJ1751" s="8"/>
      <c r="AK1751" s="8"/>
      <c r="AL1751" s="8"/>
      <c r="AM1751" s="8"/>
      <c r="AN1751" s="8"/>
      <c r="AO1751" s="8"/>
      <c r="AP1751" s="8"/>
      <c r="AQ1751" s="8"/>
      <c r="AR1751" s="8"/>
      <c r="AS1751" s="8"/>
      <c r="AT1751" s="8"/>
      <c r="AU1751" s="8"/>
      <c r="AV1751" s="8"/>
      <c r="AW1751" s="8"/>
      <c r="AX1751" s="8"/>
      <c r="AY1751" s="8"/>
      <c r="AZ1751" s="10"/>
    </row>
    <row r="1752" spans="2:52" x14ac:dyDescent="0.35">
      <c r="B1752" s="7"/>
      <c r="C1752" s="8"/>
      <c r="D1752" s="8"/>
      <c r="E1752" s="8"/>
      <c r="F1752" s="8"/>
      <c r="G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  <c r="AD1752" s="8"/>
      <c r="AE1752" s="8"/>
      <c r="AF1752" s="8"/>
      <c r="AG1752" s="8"/>
      <c r="AH1752" s="8"/>
      <c r="AI1752" s="8"/>
      <c r="AJ1752" s="8"/>
      <c r="AK1752" s="8"/>
      <c r="AL1752" s="8"/>
      <c r="AM1752" s="8"/>
      <c r="AN1752" s="8"/>
      <c r="AO1752" s="8"/>
      <c r="AP1752" s="8"/>
      <c r="AQ1752" s="8"/>
      <c r="AR1752" s="8"/>
      <c r="AS1752" s="8"/>
      <c r="AT1752" s="8"/>
      <c r="AU1752" s="8"/>
      <c r="AV1752" s="8"/>
      <c r="AW1752" s="8"/>
      <c r="AX1752" s="8"/>
      <c r="AY1752" s="8"/>
      <c r="AZ1752" s="10"/>
    </row>
    <row r="1753" spans="2:52" x14ac:dyDescent="0.35">
      <c r="B1753" s="7"/>
      <c r="C1753" s="8"/>
      <c r="D1753" s="8"/>
      <c r="E1753" s="8"/>
      <c r="F1753" s="8"/>
      <c r="G1753" s="8"/>
      <c r="H1753" s="8"/>
      <c r="I1753" s="8"/>
      <c r="J1753" s="8"/>
      <c r="K1753" s="8"/>
      <c r="L1753" s="8"/>
      <c r="M1753" s="8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  <c r="AG1753" s="8"/>
      <c r="AH1753" s="8"/>
      <c r="AI1753" s="8"/>
      <c r="AJ1753" s="8"/>
      <c r="AK1753" s="8"/>
      <c r="AL1753" s="8"/>
      <c r="AM1753" s="8"/>
      <c r="AN1753" s="8"/>
      <c r="AO1753" s="8"/>
      <c r="AP1753" s="8"/>
      <c r="AQ1753" s="8"/>
      <c r="AR1753" s="8"/>
      <c r="AS1753" s="8"/>
      <c r="AT1753" s="8"/>
      <c r="AU1753" s="8"/>
      <c r="AV1753" s="8"/>
      <c r="AW1753" s="8"/>
      <c r="AX1753" s="8"/>
      <c r="AY1753" s="8"/>
      <c r="AZ1753" s="10"/>
    </row>
    <row r="1754" spans="2:52" x14ac:dyDescent="0.35">
      <c r="B1754" s="7"/>
      <c r="C1754" s="8"/>
      <c r="D1754" s="8"/>
      <c r="E1754" s="8"/>
      <c r="F1754" s="8"/>
      <c r="G1754" s="8"/>
      <c r="H1754" s="8"/>
      <c r="I1754" s="8"/>
      <c r="J1754" s="8"/>
      <c r="K1754" s="8"/>
      <c r="L1754" s="8"/>
      <c r="M1754" s="8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  <c r="AG1754" s="8"/>
      <c r="AH1754" s="8"/>
      <c r="AI1754" s="8"/>
      <c r="AJ1754" s="8"/>
      <c r="AK1754" s="8"/>
      <c r="AL1754" s="8"/>
      <c r="AM1754" s="8"/>
      <c r="AN1754" s="8"/>
      <c r="AO1754" s="8"/>
      <c r="AP1754" s="8"/>
      <c r="AQ1754" s="8"/>
      <c r="AR1754" s="8"/>
      <c r="AS1754" s="8"/>
      <c r="AT1754" s="8"/>
      <c r="AU1754" s="8"/>
      <c r="AV1754" s="8"/>
      <c r="AW1754" s="8"/>
      <c r="AX1754" s="8"/>
      <c r="AY1754" s="8"/>
      <c r="AZ1754" s="10"/>
    </row>
    <row r="1755" spans="2:52" x14ac:dyDescent="0.35">
      <c r="B1755" s="7"/>
      <c r="C1755" s="8"/>
      <c r="D1755" s="8"/>
      <c r="E1755" s="8"/>
      <c r="F1755" s="8"/>
      <c r="G1755" s="8"/>
      <c r="H1755" s="8"/>
      <c r="I1755" s="8"/>
      <c r="J1755" s="8"/>
      <c r="K1755" s="8"/>
      <c r="L1755" s="8"/>
      <c r="M1755" s="8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  <c r="AG1755" s="8"/>
      <c r="AH1755" s="8"/>
      <c r="AI1755" s="8"/>
      <c r="AJ1755" s="8"/>
      <c r="AK1755" s="8"/>
      <c r="AL1755" s="8"/>
      <c r="AM1755" s="8"/>
      <c r="AN1755" s="8"/>
      <c r="AO1755" s="8"/>
      <c r="AP1755" s="8"/>
      <c r="AQ1755" s="8"/>
      <c r="AR1755" s="8"/>
      <c r="AS1755" s="8"/>
      <c r="AT1755" s="8"/>
      <c r="AU1755" s="8"/>
      <c r="AV1755" s="8"/>
      <c r="AW1755" s="8"/>
      <c r="AX1755" s="8"/>
      <c r="AY1755" s="8"/>
      <c r="AZ1755" s="10"/>
    </row>
    <row r="1756" spans="2:52" x14ac:dyDescent="0.35">
      <c r="B1756" s="7"/>
      <c r="C1756" s="8"/>
      <c r="D1756" s="8"/>
      <c r="E1756" s="8"/>
      <c r="F1756" s="8"/>
      <c r="G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  <c r="AG1756" s="8"/>
      <c r="AH1756" s="8"/>
      <c r="AI1756" s="8"/>
      <c r="AJ1756" s="8"/>
      <c r="AK1756" s="8"/>
      <c r="AL1756" s="8"/>
      <c r="AM1756" s="8"/>
      <c r="AN1756" s="8"/>
      <c r="AO1756" s="8"/>
      <c r="AP1756" s="8"/>
      <c r="AQ1756" s="8"/>
      <c r="AR1756" s="8"/>
      <c r="AS1756" s="8"/>
      <c r="AT1756" s="8"/>
      <c r="AU1756" s="8"/>
      <c r="AV1756" s="8"/>
      <c r="AW1756" s="8"/>
      <c r="AX1756" s="8"/>
      <c r="AY1756" s="8"/>
      <c r="AZ1756" s="10"/>
    </row>
    <row r="1757" spans="2:52" x14ac:dyDescent="0.35">
      <c r="B1757" s="7"/>
      <c r="C1757" s="8"/>
      <c r="D1757" s="8"/>
      <c r="E1757" s="8"/>
      <c r="F1757" s="8"/>
      <c r="G1757" s="8"/>
      <c r="H1757" s="8"/>
      <c r="I1757" s="8"/>
      <c r="J1757" s="8"/>
      <c r="K1757" s="8"/>
      <c r="L1757" s="8"/>
      <c r="M1757" s="8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  <c r="AG1757" s="8"/>
      <c r="AH1757" s="8"/>
      <c r="AI1757" s="8"/>
      <c r="AJ1757" s="8"/>
      <c r="AK1757" s="8"/>
      <c r="AL1757" s="8"/>
      <c r="AM1757" s="8"/>
      <c r="AN1757" s="8"/>
      <c r="AO1757" s="8"/>
      <c r="AP1757" s="8"/>
      <c r="AQ1757" s="8"/>
      <c r="AR1757" s="8"/>
      <c r="AS1757" s="8"/>
      <c r="AT1757" s="8"/>
      <c r="AU1757" s="8"/>
      <c r="AV1757" s="8"/>
      <c r="AW1757" s="8"/>
      <c r="AX1757" s="8"/>
      <c r="AY1757" s="8"/>
      <c r="AZ1757" s="10"/>
    </row>
    <row r="1758" spans="2:52" x14ac:dyDescent="0.35">
      <c r="B1758" s="7"/>
      <c r="C1758" s="8"/>
      <c r="D1758" s="8"/>
      <c r="E1758" s="8"/>
      <c r="F1758" s="8"/>
      <c r="G1758" s="8"/>
      <c r="H1758" s="8"/>
      <c r="I1758" s="8"/>
      <c r="J1758" s="8"/>
      <c r="K1758" s="8"/>
      <c r="L1758" s="8"/>
      <c r="M1758" s="8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  <c r="AD1758" s="8"/>
      <c r="AE1758" s="8"/>
      <c r="AF1758" s="8"/>
      <c r="AG1758" s="8"/>
      <c r="AH1758" s="8"/>
      <c r="AI1758" s="8"/>
      <c r="AJ1758" s="8"/>
      <c r="AK1758" s="8"/>
      <c r="AL1758" s="8"/>
      <c r="AM1758" s="8"/>
      <c r="AN1758" s="8"/>
      <c r="AO1758" s="8"/>
      <c r="AP1758" s="8"/>
      <c r="AQ1758" s="8"/>
      <c r="AR1758" s="8"/>
      <c r="AS1758" s="8"/>
      <c r="AT1758" s="8"/>
      <c r="AU1758" s="8"/>
      <c r="AV1758" s="8"/>
      <c r="AW1758" s="8"/>
      <c r="AX1758" s="8"/>
      <c r="AY1758" s="8"/>
      <c r="AZ1758" s="10"/>
    </row>
    <row r="1759" spans="2:52" x14ac:dyDescent="0.35">
      <c r="B1759" s="7"/>
      <c r="C1759" s="8"/>
      <c r="D1759" s="8"/>
      <c r="E1759" s="8"/>
      <c r="F1759" s="8"/>
      <c r="G1759" s="8"/>
      <c r="H1759" s="8"/>
      <c r="I1759" s="8"/>
      <c r="J1759" s="8"/>
      <c r="K1759" s="8"/>
      <c r="L1759" s="8"/>
      <c r="M1759" s="8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  <c r="AD1759" s="8"/>
      <c r="AE1759" s="8"/>
      <c r="AF1759" s="8"/>
      <c r="AG1759" s="8"/>
      <c r="AH1759" s="8"/>
      <c r="AI1759" s="8"/>
      <c r="AJ1759" s="8"/>
      <c r="AK1759" s="8"/>
      <c r="AL1759" s="8"/>
      <c r="AM1759" s="8"/>
      <c r="AN1759" s="8"/>
      <c r="AO1759" s="8"/>
      <c r="AP1759" s="8"/>
      <c r="AQ1759" s="8"/>
      <c r="AR1759" s="8"/>
      <c r="AS1759" s="8"/>
      <c r="AT1759" s="8"/>
      <c r="AU1759" s="8"/>
      <c r="AV1759" s="8"/>
      <c r="AW1759" s="8"/>
      <c r="AX1759" s="8"/>
      <c r="AY1759" s="8"/>
      <c r="AZ1759" s="10"/>
    </row>
    <row r="1760" spans="2:52" x14ac:dyDescent="0.35">
      <c r="B1760" s="7"/>
      <c r="C1760" s="8"/>
      <c r="D1760" s="8"/>
      <c r="E1760" s="8"/>
      <c r="F1760" s="8"/>
      <c r="G1760" s="8"/>
      <c r="H1760" s="8"/>
      <c r="I1760" s="8"/>
      <c r="J1760" s="8"/>
      <c r="K1760" s="8"/>
      <c r="L1760" s="8"/>
      <c r="M1760" s="8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  <c r="AD1760" s="8"/>
      <c r="AE1760" s="8"/>
      <c r="AF1760" s="8"/>
      <c r="AG1760" s="8"/>
      <c r="AH1760" s="8"/>
      <c r="AI1760" s="8"/>
      <c r="AJ1760" s="8"/>
      <c r="AK1760" s="8"/>
      <c r="AL1760" s="8"/>
      <c r="AM1760" s="8"/>
      <c r="AN1760" s="8"/>
      <c r="AO1760" s="8"/>
      <c r="AP1760" s="8"/>
      <c r="AQ1760" s="8"/>
      <c r="AR1760" s="8"/>
      <c r="AS1760" s="8"/>
      <c r="AT1760" s="8"/>
      <c r="AU1760" s="8"/>
      <c r="AV1760" s="8"/>
      <c r="AW1760" s="8"/>
      <c r="AX1760" s="8"/>
      <c r="AY1760" s="8"/>
      <c r="AZ1760" s="10"/>
    </row>
    <row r="1761" spans="2:52" x14ac:dyDescent="0.35">
      <c r="B1761" s="7"/>
      <c r="C1761" s="8"/>
      <c r="D1761" s="8"/>
      <c r="E1761" s="8"/>
      <c r="F1761" s="8"/>
      <c r="G1761" s="8"/>
      <c r="H1761" s="8"/>
      <c r="I1761" s="8"/>
      <c r="J1761" s="8"/>
      <c r="K1761" s="8"/>
      <c r="L1761" s="8"/>
      <c r="M1761" s="8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  <c r="AD1761" s="8"/>
      <c r="AE1761" s="8"/>
      <c r="AF1761" s="8"/>
      <c r="AG1761" s="8"/>
      <c r="AH1761" s="8"/>
      <c r="AI1761" s="8"/>
      <c r="AJ1761" s="8"/>
      <c r="AK1761" s="8"/>
      <c r="AL1761" s="8"/>
      <c r="AM1761" s="8"/>
      <c r="AN1761" s="8"/>
      <c r="AO1761" s="8"/>
      <c r="AP1761" s="8"/>
      <c r="AQ1761" s="8"/>
      <c r="AR1761" s="8"/>
      <c r="AS1761" s="8"/>
      <c r="AT1761" s="8"/>
      <c r="AU1761" s="8"/>
      <c r="AV1761" s="8"/>
      <c r="AW1761" s="8"/>
      <c r="AX1761" s="8"/>
      <c r="AY1761" s="8"/>
      <c r="AZ1761" s="10"/>
    </row>
    <row r="1762" spans="2:52" x14ac:dyDescent="0.35">
      <c r="B1762" s="7"/>
      <c r="C1762" s="8"/>
      <c r="D1762" s="8"/>
      <c r="E1762" s="8"/>
      <c r="F1762" s="8"/>
      <c r="G1762" s="8"/>
      <c r="H1762" s="8"/>
      <c r="I1762" s="8"/>
      <c r="J1762" s="8"/>
      <c r="K1762" s="8"/>
      <c r="L1762" s="8"/>
      <c r="M1762" s="8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  <c r="AD1762" s="8"/>
      <c r="AE1762" s="8"/>
      <c r="AF1762" s="8"/>
      <c r="AG1762" s="8"/>
      <c r="AH1762" s="8"/>
      <c r="AI1762" s="8"/>
      <c r="AJ1762" s="8"/>
      <c r="AK1762" s="8"/>
      <c r="AL1762" s="8"/>
      <c r="AM1762" s="8"/>
      <c r="AN1762" s="8"/>
      <c r="AO1762" s="8"/>
      <c r="AP1762" s="8"/>
      <c r="AQ1762" s="8"/>
      <c r="AR1762" s="8"/>
      <c r="AS1762" s="8"/>
      <c r="AT1762" s="8"/>
      <c r="AU1762" s="8"/>
      <c r="AV1762" s="8"/>
      <c r="AW1762" s="8"/>
      <c r="AX1762" s="8"/>
      <c r="AY1762" s="8"/>
      <c r="AZ1762" s="10"/>
    </row>
    <row r="1763" spans="2:52" x14ac:dyDescent="0.35">
      <c r="B1763" s="7"/>
      <c r="C1763" s="8"/>
      <c r="D1763" s="8"/>
      <c r="E1763" s="8"/>
      <c r="F1763" s="8"/>
      <c r="G1763" s="8"/>
      <c r="H1763" s="8"/>
      <c r="I1763" s="8"/>
      <c r="J1763" s="8"/>
      <c r="K1763" s="8"/>
      <c r="L1763" s="8"/>
      <c r="M1763" s="8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  <c r="AD1763" s="8"/>
      <c r="AE1763" s="8"/>
      <c r="AF1763" s="8"/>
      <c r="AG1763" s="8"/>
      <c r="AH1763" s="8"/>
      <c r="AI1763" s="8"/>
      <c r="AJ1763" s="8"/>
      <c r="AK1763" s="8"/>
      <c r="AL1763" s="8"/>
      <c r="AM1763" s="8"/>
      <c r="AN1763" s="8"/>
      <c r="AO1763" s="8"/>
      <c r="AP1763" s="8"/>
      <c r="AQ1763" s="8"/>
      <c r="AR1763" s="8"/>
      <c r="AS1763" s="8"/>
      <c r="AT1763" s="8"/>
      <c r="AU1763" s="8"/>
      <c r="AV1763" s="8"/>
      <c r="AW1763" s="8"/>
      <c r="AX1763" s="8"/>
      <c r="AY1763" s="8"/>
      <c r="AZ1763" s="10"/>
    </row>
    <row r="1764" spans="2:52" x14ac:dyDescent="0.35">
      <c r="B1764" s="7"/>
      <c r="C1764" s="8"/>
      <c r="D1764" s="8"/>
      <c r="E1764" s="8"/>
      <c r="F1764" s="8"/>
      <c r="G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  <c r="AD1764" s="8"/>
      <c r="AE1764" s="8"/>
      <c r="AF1764" s="8"/>
      <c r="AG1764" s="8"/>
      <c r="AH1764" s="8"/>
      <c r="AI1764" s="8"/>
      <c r="AJ1764" s="8"/>
      <c r="AK1764" s="8"/>
      <c r="AL1764" s="8"/>
      <c r="AM1764" s="8"/>
      <c r="AN1764" s="8"/>
      <c r="AO1764" s="8"/>
      <c r="AP1764" s="8"/>
      <c r="AQ1764" s="8"/>
      <c r="AR1764" s="8"/>
      <c r="AS1764" s="8"/>
      <c r="AT1764" s="8"/>
      <c r="AU1764" s="8"/>
      <c r="AV1764" s="8"/>
      <c r="AW1764" s="8"/>
      <c r="AX1764" s="8"/>
      <c r="AY1764" s="8"/>
      <c r="AZ1764" s="10"/>
    </row>
    <row r="1765" spans="2:52" x14ac:dyDescent="0.35">
      <c r="B1765" s="7"/>
      <c r="C1765" s="8"/>
      <c r="D1765" s="8"/>
      <c r="E1765" s="8"/>
      <c r="F1765" s="8"/>
      <c r="G1765" s="8"/>
      <c r="H1765" s="8"/>
      <c r="I1765" s="8"/>
      <c r="J1765" s="8"/>
      <c r="K1765" s="8"/>
      <c r="L1765" s="8"/>
      <c r="M1765" s="8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  <c r="AD1765" s="8"/>
      <c r="AE1765" s="8"/>
      <c r="AF1765" s="8"/>
      <c r="AG1765" s="8"/>
      <c r="AH1765" s="8"/>
      <c r="AI1765" s="8"/>
      <c r="AJ1765" s="8"/>
      <c r="AK1765" s="8"/>
      <c r="AL1765" s="8"/>
      <c r="AM1765" s="8"/>
      <c r="AN1765" s="8"/>
      <c r="AO1765" s="8"/>
      <c r="AP1765" s="8"/>
      <c r="AQ1765" s="8"/>
      <c r="AR1765" s="8"/>
      <c r="AS1765" s="8"/>
      <c r="AT1765" s="8"/>
      <c r="AU1765" s="8"/>
      <c r="AV1765" s="8"/>
      <c r="AW1765" s="8"/>
      <c r="AX1765" s="8"/>
      <c r="AY1765" s="8"/>
      <c r="AZ1765" s="10"/>
    </row>
    <row r="1766" spans="2:52" x14ac:dyDescent="0.35">
      <c r="B1766" s="7"/>
      <c r="C1766" s="8"/>
      <c r="D1766" s="8"/>
      <c r="E1766" s="8"/>
      <c r="F1766" s="8"/>
      <c r="G1766" s="8"/>
      <c r="H1766" s="8"/>
      <c r="I1766" s="8"/>
      <c r="J1766" s="8"/>
      <c r="K1766" s="8"/>
      <c r="L1766" s="8"/>
      <c r="M1766" s="8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8"/>
      <c r="AE1766" s="8"/>
      <c r="AF1766" s="8"/>
      <c r="AG1766" s="8"/>
      <c r="AH1766" s="8"/>
      <c r="AI1766" s="8"/>
      <c r="AJ1766" s="8"/>
      <c r="AK1766" s="8"/>
      <c r="AL1766" s="8"/>
      <c r="AM1766" s="8"/>
      <c r="AN1766" s="8"/>
      <c r="AO1766" s="8"/>
      <c r="AP1766" s="8"/>
      <c r="AQ1766" s="8"/>
      <c r="AR1766" s="8"/>
      <c r="AS1766" s="8"/>
      <c r="AT1766" s="8"/>
      <c r="AU1766" s="8"/>
      <c r="AV1766" s="8"/>
      <c r="AW1766" s="8"/>
      <c r="AX1766" s="8"/>
      <c r="AY1766" s="8"/>
      <c r="AZ1766" s="10"/>
    </row>
    <row r="1767" spans="2:52" x14ac:dyDescent="0.35">
      <c r="B1767" s="7"/>
      <c r="C1767" s="8"/>
      <c r="D1767" s="8"/>
      <c r="E1767" s="8"/>
      <c r="F1767" s="8"/>
      <c r="G1767" s="8"/>
      <c r="H1767" s="8"/>
      <c r="I1767" s="8"/>
      <c r="J1767" s="8"/>
      <c r="K1767" s="8"/>
      <c r="L1767" s="8"/>
      <c r="M1767" s="8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8"/>
      <c r="AE1767" s="8"/>
      <c r="AF1767" s="8"/>
      <c r="AG1767" s="8"/>
      <c r="AH1767" s="8"/>
      <c r="AI1767" s="8"/>
      <c r="AJ1767" s="8"/>
      <c r="AK1767" s="8"/>
      <c r="AL1767" s="8"/>
      <c r="AM1767" s="8"/>
      <c r="AN1767" s="8"/>
      <c r="AO1767" s="8"/>
      <c r="AP1767" s="8"/>
      <c r="AQ1767" s="8"/>
      <c r="AR1767" s="8"/>
      <c r="AS1767" s="8"/>
      <c r="AT1767" s="8"/>
      <c r="AU1767" s="8"/>
      <c r="AV1767" s="8"/>
      <c r="AW1767" s="8"/>
      <c r="AX1767" s="8"/>
      <c r="AY1767" s="8"/>
      <c r="AZ1767" s="10"/>
    </row>
    <row r="1768" spans="2:52" x14ac:dyDescent="0.35">
      <c r="B1768" s="7"/>
      <c r="C1768" s="8"/>
      <c r="D1768" s="8"/>
      <c r="E1768" s="8"/>
      <c r="F1768" s="8"/>
      <c r="G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8"/>
      <c r="AE1768" s="8"/>
      <c r="AF1768" s="8"/>
      <c r="AG1768" s="8"/>
      <c r="AH1768" s="8"/>
      <c r="AI1768" s="8"/>
      <c r="AJ1768" s="8"/>
      <c r="AK1768" s="8"/>
      <c r="AL1768" s="8"/>
      <c r="AM1768" s="8"/>
      <c r="AN1768" s="8"/>
      <c r="AO1768" s="8"/>
      <c r="AP1768" s="8"/>
      <c r="AQ1768" s="8"/>
      <c r="AR1768" s="8"/>
      <c r="AS1768" s="8"/>
      <c r="AT1768" s="8"/>
      <c r="AU1768" s="8"/>
      <c r="AV1768" s="8"/>
      <c r="AW1768" s="8"/>
      <c r="AX1768" s="8"/>
      <c r="AY1768" s="8"/>
      <c r="AZ1768" s="10"/>
    </row>
    <row r="1769" spans="2:52" x14ac:dyDescent="0.35">
      <c r="B1769" s="7"/>
      <c r="C1769" s="8"/>
      <c r="D1769" s="8"/>
      <c r="E1769" s="8"/>
      <c r="F1769" s="8"/>
      <c r="G1769" s="8"/>
      <c r="H1769" s="8"/>
      <c r="I1769" s="8"/>
      <c r="J1769" s="8"/>
      <c r="K1769" s="8"/>
      <c r="L1769" s="8"/>
      <c r="M1769" s="8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  <c r="AD1769" s="8"/>
      <c r="AE1769" s="8"/>
      <c r="AF1769" s="8"/>
      <c r="AG1769" s="8"/>
      <c r="AH1769" s="8"/>
      <c r="AI1769" s="8"/>
      <c r="AJ1769" s="8"/>
      <c r="AK1769" s="8"/>
      <c r="AL1769" s="8"/>
      <c r="AM1769" s="8"/>
      <c r="AN1769" s="8"/>
      <c r="AO1769" s="8"/>
      <c r="AP1769" s="8"/>
      <c r="AQ1769" s="8"/>
      <c r="AR1769" s="8"/>
      <c r="AS1769" s="8"/>
      <c r="AT1769" s="8"/>
      <c r="AU1769" s="8"/>
      <c r="AV1769" s="8"/>
      <c r="AW1769" s="8"/>
      <c r="AX1769" s="8"/>
      <c r="AY1769" s="8"/>
      <c r="AZ1769" s="10"/>
    </row>
    <row r="1770" spans="2:52" x14ac:dyDescent="0.35">
      <c r="B1770" s="7"/>
      <c r="C1770" s="8"/>
      <c r="D1770" s="8"/>
      <c r="E1770" s="8"/>
      <c r="F1770" s="8"/>
      <c r="G1770" s="8"/>
      <c r="H1770" s="8"/>
      <c r="I1770" s="8"/>
      <c r="J1770" s="8"/>
      <c r="K1770" s="8"/>
      <c r="L1770" s="8"/>
      <c r="M1770" s="8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  <c r="AD1770" s="8"/>
      <c r="AE1770" s="8"/>
      <c r="AF1770" s="8"/>
      <c r="AG1770" s="8"/>
      <c r="AH1770" s="8"/>
      <c r="AI1770" s="8"/>
      <c r="AJ1770" s="8"/>
      <c r="AK1770" s="8"/>
      <c r="AL1770" s="8"/>
      <c r="AM1770" s="8"/>
      <c r="AN1770" s="8"/>
      <c r="AO1770" s="8"/>
      <c r="AP1770" s="8"/>
      <c r="AQ1770" s="8"/>
      <c r="AR1770" s="8"/>
      <c r="AS1770" s="8"/>
      <c r="AT1770" s="8"/>
      <c r="AU1770" s="8"/>
      <c r="AV1770" s="8"/>
      <c r="AW1770" s="8"/>
      <c r="AX1770" s="8"/>
      <c r="AY1770" s="8"/>
      <c r="AZ1770" s="10"/>
    </row>
    <row r="1771" spans="2:52" x14ac:dyDescent="0.35">
      <c r="B1771" s="7"/>
      <c r="C1771" s="8"/>
      <c r="D1771" s="8"/>
      <c r="E1771" s="8"/>
      <c r="F1771" s="8"/>
      <c r="G1771" s="8"/>
      <c r="H1771" s="8"/>
      <c r="I1771" s="8"/>
      <c r="J1771" s="8"/>
      <c r="K1771" s="8"/>
      <c r="L1771" s="8"/>
      <c r="M1771" s="8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  <c r="AD1771" s="8"/>
      <c r="AE1771" s="8"/>
      <c r="AF1771" s="8"/>
      <c r="AG1771" s="8"/>
      <c r="AH1771" s="8"/>
      <c r="AI1771" s="8"/>
      <c r="AJ1771" s="8"/>
      <c r="AK1771" s="8"/>
      <c r="AL1771" s="8"/>
      <c r="AM1771" s="8"/>
      <c r="AN1771" s="8"/>
      <c r="AO1771" s="8"/>
      <c r="AP1771" s="8"/>
      <c r="AQ1771" s="8"/>
      <c r="AR1771" s="8"/>
      <c r="AS1771" s="8"/>
      <c r="AT1771" s="8"/>
      <c r="AU1771" s="8"/>
      <c r="AV1771" s="8"/>
      <c r="AW1771" s="8"/>
      <c r="AX1771" s="8"/>
      <c r="AY1771" s="8"/>
      <c r="AZ1771" s="10"/>
    </row>
    <row r="1772" spans="2:52" x14ac:dyDescent="0.35">
      <c r="B1772" s="7"/>
      <c r="C1772" s="8"/>
      <c r="D1772" s="8"/>
      <c r="E1772" s="8"/>
      <c r="F1772" s="8"/>
      <c r="G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8"/>
      <c r="AE1772" s="8"/>
      <c r="AF1772" s="8"/>
      <c r="AG1772" s="8"/>
      <c r="AH1772" s="8"/>
      <c r="AI1772" s="8"/>
      <c r="AJ1772" s="8"/>
      <c r="AK1772" s="8"/>
      <c r="AL1772" s="8"/>
      <c r="AM1772" s="8"/>
      <c r="AN1772" s="8"/>
      <c r="AO1772" s="8"/>
      <c r="AP1772" s="8"/>
      <c r="AQ1772" s="8"/>
      <c r="AR1772" s="8"/>
      <c r="AS1772" s="8"/>
      <c r="AT1772" s="8"/>
      <c r="AU1772" s="8"/>
      <c r="AV1772" s="8"/>
      <c r="AW1772" s="8"/>
      <c r="AX1772" s="8"/>
      <c r="AY1772" s="8"/>
      <c r="AZ1772" s="10"/>
    </row>
    <row r="1773" spans="2:52" x14ac:dyDescent="0.35">
      <c r="B1773" s="7"/>
      <c r="C1773" s="8"/>
      <c r="D1773" s="8"/>
      <c r="E1773" s="8"/>
      <c r="F1773" s="8"/>
      <c r="G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8"/>
      <c r="AE1773" s="8"/>
      <c r="AF1773" s="8"/>
      <c r="AG1773" s="8"/>
      <c r="AH1773" s="8"/>
      <c r="AI1773" s="8"/>
      <c r="AJ1773" s="8"/>
      <c r="AK1773" s="8"/>
      <c r="AL1773" s="8"/>
      <c r="AM1773" s="8"/>
      <c r="AN1773" s="8"/>
      <c r="AO1773" s="8"/>
      <c r="AP1773" s="8"/>
      <c r="AQ1773" s="8"/>
      <c r="AR1773" s="8"/>
      <c r="AS1773" s="8"/>
      <c r="AT1773" s="8"/>
      <c r="AU1773" s="8"/>
      <c r="AV1773" s="8"/>
      <c r="AW1773" s="8"/>
      <c r="AX1773" s="8"/>
      <c r="AY1773" s="8"/>
      <c r="AZ1773" s="10"/>
    </row>
    <row r="1774" spans="2:52" x14ac:dyDescent="0.35">
      <c r="B1774" s="7"/>
      <c r="C1774" s="8"/>
      <c r="D1774" s="8"/>
      <c r="E1774" s="8"/>
      <c r="F1774" s="8"/>
      <c r="G1774" s="8"/>
      <c r="H1774" s="8"/>
      <c r="I1774" s="8"/>
      <c r="J1774" s="8"/>
      <c r="K1774" s="8"/>
      <c r="L1774" s="8"/>
      <c r="M1774" s="8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  <c r="AD1774" s="8"/>
      <c r="AE1774" s="8"/>
      <c r="AF1774" s="8"/>
      <c r="AG1774" s="8"/>
      <c r="AH1774" s="8"/>
      <c r="AI1774" s="8"/>
      <c r="AJ1774" s="8"/>
      <c r="AK1774" s="8"/>
      <c r="AL1774" s="8"/>
      <c r="AM1774" s="8"/>
      <c r="AN1774" s="8"/>
      <c r="AO1774" s="8"/>
      <c r="AP1774" s="8"/>
      <c r="AQ1774" s="8"/>
      <c r="AR1774" s="8"/>
      <c r="AS1774" s="8"/>
      <c r="AT1774" s="8"/>
      <c r="AU1774" s="8"/>
      <c r="AV1774" s="8"/>
      <c r="AW1774" s="8"/>
      <c r="AX1774" s="8"/>
      <c r="AY1774" s="8"/>
      <c r="AZ1774" s="10"/>
    </row>
    <row r="1775" spans="2:52" x14ac:dyDescent="0.35">
      <c r="B1775" s="7"/>
      <c r="C1775" s="8"/>
      <c r="D1775" s="8"/>
      <c r="E1775" s="8"/>
      <c r="F1775" s="8"/>
      <c r="G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  <c r="AD1775" s="8"/>
      <c r="AE1775" s="8"/>
      <c r="AF1775" s="8"/>
      <c r="AG1775" s="8"/>
      <c r="AH1775" s="8"/>
      <c r="AI1775" s="8"/>
      <c r="AJ1775" s="8"/>
      <c r="AK1775" s="8"/>
      <c r="AL1775" s="8"/>
      <c r="AM1775" s="8"/>
      <c r="AN1775" s="8"/>
      <c r="AO1775" s="8"/>
      <c r="AP1775" s="8"/>
      <c r="AQ1775" s="8"/>
      <c r="AR1775" s="8"/>
      <c r="AS1775" s="8"/>
      <c r="AT1775" s="8"/>
      <c r="AU1775" s="8"/>
      <c r="AV1775" s="8"/>
      <c r="AW1775" s="8"/>
      <c r="AX1775" s="8"/>
      <c r="AY1775" s="8"/>
      <c r="AZ1775" s="10"/>
    </row>
    <row r="1776" spans="2:52" x14ac:dyDescent="0.35">
      <c r="B1776" s="7"/>
      <c r="C1776" s="8"/>
      <c r="D1776" s="8"/>
      <c r="E1776" s="8"/>
      <c r="F1776" s="8"/>
      <c r="G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  <c r="AD1776" s="8"/>
      <c r="AE1776" s="8"/>
      <c r="AF1776" s="8"/>
      <c r="AG1776" s="8"/>
      <c r="AH1776" s="8"/>
      <c r="AI1776" s="8"/>
      <c r="AJ1776" s="8"/>
      <c r="AK1776" s="8"/>
      <c r="AL1776" s="8"/>
      <c r="AM1776" s="8"/>
      <c r="AN1776" s="8"/>
      <c r="AO1776" s="8"/>
      <c r="AP1776" s="8"/>
      <c r="AQ1776" s="8"/>
      <c r="AR1776" s="8"/>
      <c r="AS1776" s="8"/>
      <c r="AT1776" s="8"/>
      <c r="AU1776" s="8"/>
      <c r="AV1776" s="8"/>
      <c r="AW1776" s="8"/>
      <c r="AX1776" s="8"/>
      <c r="AY1776" s="8"/>
      <c r="AZ1776" s="10"/>
    </row>
    <row r="1777" spans="2:52" x14ac:dyDescent="0.35">
      <c r="B1777" s="7"/>
      <c r="C1777" s="8"/>
      <c r="D1777" s="8"/>
      <c r="E1777" s="8"/>
      <c r="F1777" s="8"/>
      <c r="G1777" s="8"/>
      <c r="H1777" s="8"/>
      <c r="I1777" s="8"/>
      <c r="J1777" s="8"/>
      <c r="K1777" s="8"/>
      <c r="L1777" s="8"/>
      <c r="M1777" s="8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  <c r="AD1777" s="8"/>
      <c r="AE1777" s="8"/>
      <c r="AF1777" s="8"/>
      <c r="AG1777" s="8"/>
      <c r="AH1777" s="8"/>
      <c r="AI1777" s="8"/>
      <c r="AJ1777" s="8"/>
      <c r="AK1777" s="8"/>
      <c r="AL1777" s="8"/>
      <c r="AM1777" s="8"/>
      <c r="AN1777" s="8"/>
      <c r="AO1777" s="8"/>
      <c r="AP1777" s="8"/>
      <c r="AQ1777" s="8"/>
      <c r="AR1777" s="8"/>
      <c r="AS1777" s="8"/>
      <c r="AT1777" s="8"/>
      <c r="AU1777" s="8"/>
      <c r="AV1777" s="8"/>
      <c r="AW1777" s="8"/>
      <c r="AX1777" s="8"/>
      <c r="AY1777" s="8"/>
      <c r="AZ1777" s="10"/>
    </row>
    <row r="1778" spans="2:52" x14ac:dyDescent="0.35">
      <c r="B1778" s="7"/>
      <c r="C1778" s="8"/>
      <c r="D1778" s="8"/>
      <c r="E1778" s="8"/>
      <c r="F1778" s="8"/>
      <c r="G1778" s="8"/>
      <c r="H1778" s="8"/>
      <c r="I1778" s="8"/>
      <c r="J1778" s="8"/>
      <c r="K1778" s="8"/>
      <c r="L1778" s="8"/>
      <c r="M1778" s="8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  <c r="AD1778" s="8"/>
      <c r="AE1778" s="8"/>
      <c r="AF1778" s="8"/>
      <c r="AG1778" s="8"/>
      <c r="AH1778" s="8"/>
      <c r="AI1778" s="8"/>
      <c r="AJ1778" s="8"/>
      <c r="AK1778" s="8"/>
      <c r="AL1778" s="8"/>
      <c r="AM1778" s="8"/>
      <c r="AN1778" s="8"/>
      <c r="AO1778" s="8"/>
      <c r="AP1778" s="8"/>
      <c r="AQ1778" s="8"/>
      <c r="AR1778" s="8"/>
      <c r="AS1778" s="8"/>
      <c r="AT1778" s="8"/>
      <c r="AU1778" s="8"/>
      <c r="AV1778" s="8"/>
      <c r="AW1778" s="8"/>
      <c r="AX1778" s="8"/>
      <c r="AY1778" s="8"/>
      <c r="AZ1778" s="10"/>
    </row>
    <row r="1779" spans="2:52" x14ac:dyDescent="0.35">
      <c r="B1779" s="7"/>
      <c r="C1779" s="8"/>
      <c r="D1779" s="8"/>
      <c r="E1779" s="8"/>
      <c r="F1779" s="8"/>
      <c r="G1779" s="8"/>
      <c r="H1779" s="8"/>
      <c r="I1779" s="8"/>
      <c r="J1779" s="8"/>
      <c r="K1779" s="8"/>
      <c r="L1779" s="8"/>
      <c r="M1779" s="8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  <c r="AD1779" s="8"/>
      <c r="AE1779" s="8"/>
      <c r="AF1779" s="8"/>
      <c r="AG1779" s="8"/>
      <c r="AH1779" s="8"/>
      <c r="AI1779" s="8"/>
      <c r="AJ1779" s="8"/>
      <c r="AK1779" s="8"/>
      <c r="AL1779" s="8"/>
      <c r="AM1779" s="8"/>
      <c r="AN1779" s="8"/>
      <c r="AO1779" s="8"/>
      <c r="AP1779" s="8"/>
      <c r="AQ1779" s="8"/>
      <c r="AR1779" s="8"/>
      <c r="AS1779" s="8"/>
      <c r="AT1779" s="8"/>
      <c r="AU1779" s="8"/>
      <c r="AV1779" s="8"/>
      <c r="AW1779" s="8"/>
      <c r="AX1779" s="8"/>
      <c r="AY1779" s="8"/>
      <c r="AZ1779" s="10"/>
    </row>
    <row r="1780" spans="2:52" x14ac:dyDescent="0.35">
      <c r="B1780" s="7"/>
      <c r="C1780" s="8"/>
      <c r="D1780" s="8"/>
      <c r="E1780" s="8"/>
      <c r="F1780" s="8"/>
      <c r="G1780" s="8"/>
      <c r="H1780" s="8"/>
      <c r="I1780" s="8"/>
      <c r="J1780" s="8"/>
      <c r="K1780" s="8"/>
      <c r="L1780" s="8"/>
      <c r="M1780" s="8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  <c r="AD1780" s="8"/>
      <c r="AE1780" s="8"/>
      <c r="AF1780" s="8"/>
      <c r="AG1780" s="8"/>
      <c r="AH1780" s="8"/>
      <c r="AI1780" s="8"/>
      <c r="AJ1780" s="8"/>
      <c r="AK1780" s="8"/>
      <c r="AL1780" s="8"/>
      <c r="AM1780" s="8"/>
      <c r="AN1780" s="8"/>
      <c r="AO1780" s="8"/>
      <c r="AP1780" s="8"/>
      <c r="AQ1780" s="8"/>
      <c r="AR1780" s="8"/>
      <c r="AS1780" s="8"/>
      <c r="AT1780" s="8"/>
      <c r="AU1780" s="8"/>
      <c r="AV1780" s="8"/>
      <c r="AW1780" s="8"/>
      <c r="AX1780" s="8"/>
      <c r="AY1780" s="8"/>
      <c r="AZ1780" s="10"/>
    </row>
    <row r="1781" spans="2:52" x14ac:dyDescent="0.35">
      <c r="B1781" s="7"/>
      <c r="C1781" s="8"/>
      <c r="D1781" s="8"/>
      <c r="E1781" s="8"/>
      <c r="F1781" s="8"/>
      <c r="G1781" s="8"/>
      <c r="H1781" s="8"/>
      <c r="I1781" s="8"/>
      <c r="J1781" s="8"/>
      <c r="K1781" s="8"/>
      <c r="L1781" s="8"/>
      <c r="M1781" s="8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  <c r="AD1781" s="8"/>
      <c r="AE1781" s="8"/>
      <c r="AF1781" s="8"/>
      <c r="AG1781" s="8"/>
      <c r="AH1781" s="8"/>
      <c r="AI1781" s="8"/>
      <c r="AJ1781" s="8"/>
      <c r="AK1781" s="8"/>
      <c r="AL1781" s="8"/>
      <c r="AM1781" s="8"/>
      <c r="AN1781" s="8"/>
      <c r="AO1781" s="8"/>
      <c r="AP1781" s="8"/>
      <c r="AQ1781" s="8"/>
      <c r="AR1781" s="8"/>
      <c r="AS1781" s="8"/>
      <c r="AT1781" s="8"/>
      <c r="AU1781" s="8"/>
      <c r="AV1781" s="8"/>
      <c r="AW1781" s="8"/>
      <c r="AX1781" s="8"/>
      <c r="AY1781" s="8"/>
      <c r="AZ1781" s="10"/>
    </row>
    <row r="1782" spans="2:52" x14ac:dyDescent="0.35">
      <c r="B1782" s="7"/>
      <c r="C1782" s="8"/>
      <c r="D1782" s="8"/>
      <c r="E1782" s="8"/>
      <c r="F1782" s="8"/>
      <c r="G1782" s="8"/>
      <c r="H1782" s="8"/>
      <c r="I1782" s="8"/>
      <c r="J1782" s="8"/>
      <c r="K1782" s="8"/>
      <c r="L1782" s="8"/>
      <c r="M1782" s="8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  <c r="AD1782" s="8"/>
      <c r="AE1782" s="8"/>
      <c r="AF1782" s="8"/>
      <c r="AG1782" s="8"/>
      <c r="AH1782" s="8"/>
      <c r="AI1782" s="8"/>
      <c r="AJ1782" s="8"/>
      <c r="AK1782" s="8"/>
      <c r="AL1782" s="8"/>
      <c r="AM1782" s="8"/>
      <c r="AN1782" s="8"/>
      <c r="AO1782" s="8"/>
      <c r="AP1782" s="8"/>
      <c r="AQ1782" s="8"/>
      <c r="AR1782" s="8"/>
      <c r="AS1782" s="8"/>
      <c r="AT1782" s="8"/>
      <c r="AU1782" s="8"/>
      <c r="AV1782" s="8"/>
      <c r="AW1782" s="8"/>
      <c r="AX1782" s="8"/>
      <c r="AY1782" s="8"/>
      <c r="AZ1782" s="10"/>
    </row>
    <row r="1783" spans="2:52" x14ac:dyDescent="0.35">
      <c r="B1783" s="7"/>
      <c r="C1783" s="8"/>
      <c r="D1783" s="8"/>
      <c r="E1783" s="8"/>
      <c r="F1783" s="8"/>
      <c r="G1783" s="8"/>
      <c r="H1783" s="8"/>
      <c r="I1783" s="8"/>
      <c r="J1783" s="8"/>
      <c r="K1783" s="8"/>
      <c r="L1783" s="8"/>
      <c r="M1783" s="8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  <c r="AD1783" s="8"/>
      <c r="AE1783" s="8"/>
      <c r="AF1783" s="8"/>
      <c r="AG1783" s="8"/>
      <c r="AH1783" s="8"/>
      <c r="AI1783" s="8"/>
      <c r="AJ1783" s="8"/>
      <c r="AK1783" s="8"/>
      <c r="AL1783" s="8"/>
      <c r="AM1783" s="8"/>
      <c r="AN1783" s="8"/>
      <c r="AO1783" s="8"/>
      <c r="AP1783" s="8"/>
      <c r="AQ1783" s="8"/>
      <c r="AR1783" s="8"/>
      <c r="AS1783" s="8"/>
      <c r="AT1783" s="8"/>
      <c r="AU1783" s="8"/>
      <c r="AV1783" s="8"/>
      <c r="AW1783" s="8"/>
      <c r="AX1783" s="8"/>
      <c r="AY1783" s="8"/>
      <c r="AZ1783" s="10"/>
    </row>
    <row r="1784" spans="2:52" x14ac:dyDescent="0.35">
      <c r="B1784" s="7"/>
      <c r="C1784" s="8"/>
      <c r="D1784" s="8"/>
      <c r="E1784" s="8"/>
      <c r="F1784" s="8"/>
      <c r="G1784" s="8"/>
      <c r="H1784" s="8"/>
      <c r="I1784" s="8"/>
      <c r="J1784" s="8"/>
      <c r="K1784" s="8"/>
      <c r="L1784" s="8"/>
      <c r="M1784" s="8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  <c r="AD1784" s="8"/>
      <c r="AE1784" s="8"/>
      <c r="AF1784" s="8"/>
      <c r="AG1784" s="8"/>
      <c r="AH1784" s="8"/>
      <c r="AI1784" s="8"/>
      <c r="AJ1784" s="8"/>
      <c r="AK1784" s="8"/>
      <c r="AL1784" s="8"/>
      <c r="AM1784" s="8"/>
      <c r="AN1784" s="8"/>
      <c r="AO1784" s="8"/>
      <c r="AP1784" s="8"/>
      <c r="AQ1784" s="8"/>
      <c r="AR1784" s="8"/>
      <c r="AS1784" s="8"/>
      <c r="AT1784" s="8"/>
      <c r="AU1784" s="8"/>
      <c r="AV1784" s="8"/>
      <c r="AW1784" s="8"/>
      <c r="AX1784" s="8"/>
      <c r="AY1784" s="8"/>
      <c r="AZ1784" s="10"/>
    </row>
    <row r="1785" spans="2:52" x14ac:dyDescent="0.35">
      <c r="B1785" s="7"/>
      <c r="C1785" s="8"/>
      <c r="D1785" s="8"/>
      <c r="E1785" s="8"/>
      <c r="F1785" s="8"/>
      <c r="G1785" s="8"/>
      <c r="H1785" s="8"/>
      <c r="I1785" s="8"/>
      <c r="J1785" s="8"/>
      <c r="K1785" s="8"/>
      <c r="L1785" s="8"/>
      <c r="M1785" s="8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  <c r="AD1785" s="8"/>
      <c r="AE1785" s="8"/>
      <c r="AF1785" s="8"/>
      <c r="AG1785" s="8"/>
      <c r="AH1785" s="8"/>
      <c r="AI1785" s="8"/>
      <c r="AJ1785" s="8"/>
      <c r="AK1785" s="8"/>
      <c r="AL1785" s="8"/>
      <c r="AM1785" s="8"/>
      <c r="AN1785" s="8"/>
      <c r="AO1785" s="8"/>
      <c r="AP1785" s="8"/>
      <c r="AQ1785" s="8"/>
      <c r="AR1785" s="8"/>
      <c r="AS1785" s="8"/>
      <c r="AT1785" s="8"/>
      <c r="AU1785" s="8"/>
      <c r="AV1785" s="8"/>
      <c r="AW1785" s="8"/>
      <c r="AX1785" s="8"/>
      <c r="AY1785" s="8"/>
      <c r="AZ1785" s="10"/>
    </row>
    <row r="1786" spans="2:52" x14ac:dyDescent="0.35">
      <c r="B1786" s="7"/>
      <c r="C1786" s="8"/>
      <c r="D1786" s="8"/>
      <c r="E1786" s="8"/>
      <c r="F1786" s="8"/>
      <c r="G1786" s="8"/>
      <c r="H1786" s="8"/>
      <c r="I1786" s="8"/>
      <c r="J1786" s="8"/>
      <c r="K1786" s="8"/>
      <c r="L1786" s="8"/>
      <c r="M1786" s="8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8"/>
      <c r="AE1786" s="8"/>
      <c r="AF1786" s="8"/>
      <c r="AG1786" s="8"/>
      <c r="AH1786" s="8"/>
      <c r="AI1786" s="8"/>
      <c r="AJ1786" s="8"/>
      <c r="AK1786" s="8"/>
      <c r="AL1786" s="8"/>
      <c r="AM1786" s="8"/>
      <c r="AN1786" s="8"/>
      <c r="AO1786" s="8"/>
      <c r="AP1786" s="8"/>
      <c r="AQ1786" s="8"/>
      <c r="AR1786" s="8"/>
      <c r="AS1786" s="8"/>
      <c r="AT1786" s="8"/>
      <c r="AU1786" s="8"/>
      <c r="AV1786" s="8"/>
      <c r="AW1786" s="8"/>
      <c r="AX1786" s="8"/>
      <c r="AY1786" s="8"/>
      <c r="AZ1786" s="10"/>
    </row>
    <row r="1787" spans="2:52" x14ac:dyDescent="0.35">
      <c r="B1787" s="7"/>
      <c r="C1787" s="8"/>
      <c r="D1787" s="8"/>
      <c r="E1787" s="8"/>
      <c r="F1787" s="8"/>
      <c r="G1787" s="8"/>
      <c r="H1787" s="8"/>
      <c r="I1787" s="8"/>
      <c r="J1787" s="8"/>
      <c r="K1787" s="8"/>
      <c r="L1787" s="8"/>
      <c r="M1787" s="8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  <c r="AD1787" s="8"/>
      <c r="AE1787" s="8"/>
      <c r="AF1787" s="8"/>
      <c r="AG1787" s="8"/>
      <c r="AH1787" s="8"/>
      <c r="AI1787" s="8"/>
      <c r="AJ1787" s="8"/>
      <c r="AK1787" s="8"/>
      <c r="AL1787" s="8"/>
      <c r="AM1787" s="8"/>
      <c r="AN1787" s="8"/>
      <c r="AO1787" s="8"/>
      <c r="AP1787" s="8"/>
      <c r="AQ1787" s="8"/>
      <c r="AR1787" s="8"/>
      <c r="AS1787" s="8"/>
      <c r="AT1787" s="8"/>
      <c r="AU1787" s="8"/>
      <c r="AV1787" s="8"/>
      <c r="AW1787" s="8"/>
      <c r="AX1787" s="8"/>
      <c r="AY1787" s="8"/>
      <c r="AZ1787" s="10"/>
    </row>
    <row r="1788" spans="2:52" x14ac:dyDescent="0.35">
      <c r="B1788" s="7"/>
      <c r="C1788" s="8"/>
      <c r="D1788" s="8"/>
      <c r="E1788" s="8"/>
      <c r="F1788" s="8"/>
      <c r="G1788" s="8"/>
      <c r="H1788" s="8"/>
      <c r="I1788" s="8"/>
      <c r="J1788" s="8"/>
      <c r="K1788" s="8"/>
      <c r="L1788" s="8"/>
      <c r="M1788" s="8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  <c r="AD1788" s="8"/>
      <c r="AE1788" s="8"/>
      <c r="AF1788" s="8"/>
      <c r="AG1788" s="8"/>
      <c r="AH1788" s="8"/>
      <c r="AI1788" s="8"/>
      <c r="AJ1788" s="8"/>
      <c r="AK1788" s="8"/>
      <c r="AL1788" s="8"/>
      <c r="AM1788" s="8"/>
      <c r="AN1788" s="8"/>
      <c r="AO1788" s="8"/>
      <c r="AP1788" s="8"/>
      <c r="AQ1788" s="8"/>
      <c r="AR1788" s="8"/>
      <c r="AS1788" s="8"/>
      <c r="AT1788" s="8"/>
      <c r="AU1788" s="8"/>
      <c r="AV1788" s="8"/>
      <c r="AW1788" s="8"/>
      <c r="AX1788" s="8"/>
      <c r="AY1788" s="8"/>
      <c r="AZ1788" s="10"/>
    </row>
    <row r="1789" spans="2:52" x14ac:dyDescent="0.35">
      <c r="B1789" s="7"/>
      <c r="C1789" s="8"/>
      <c r="D1789" s="8"/>
      <c r="E1789" s="8"/>
      <c r="F1789" s="8"/>
      <c r="G1789" s="8"/>
      <c r="H1789" s="8"/>
      <c r="I1789" s="8"/>
      <c r="J1789" s="8"/>
      <c r="K1789" s="8"/>
      <c r="L1789" s="8"/>
      <c r="M1789" s="8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  <c r="AG1789" s="8"/>
      <c r="AH1789" s="8"/>
      <c r="AI1789" s="8"/>
      <c r="AJ1789" s="8"/>
      <c r="AK1789" s="8"/>
      <c r="AL1789" s="8"/>
      <c r="AM1789" s="8"/>
      <c r="AN1789" s="8"/>
      <c r="AO1789" s="8"/>
      <c r="AP1789" s="8"/>
      <c r="AQ1789" s="8"/>
      <c r="AR1789" s="8"/>
      <c r="AS1789" s="8"/>
      <c r="AT1789" s="8"/>
      <c r="AU1789" s="8"/>
      <c r="AV1789" s="8"/>
      <c r="AW1789" s="8"/>
      <c r="AX1789" s="8"/>
      <c r="AY1789" s="8"/>
      <c r="AZ1789" s="10"/>
    </row>
    <row r="1790" spans="2:52" x14ac:dyDescent="0.35">
      <c r="B1790" s="7"/>
      <c r="C1790" s="8"/>
      <c r="D1790" s="8"/>
      <c r="E1790" s="8"/>
      <c r="F1790" s="8"/>
      <c r="G1790" s="8"/>
      <c r="H1790" s="8"/>
      <c r="I1790" s="8"/>
      <c r="J1790" s="8"/>
      <c r="K1790" s="8"/>
      <c r="L1790" s="8"/>
      <c r="M1790" s="8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  <c r="AG1790" s="8"/>
      <c r="AH1790" s="8"/>
      <c r="AI1790" s="8"/>
      <c r="AJ1790" s="8"/>
      <c r="AK1790" s="8"/>
      <c r="AL1790" s="8"/>
      <c r="AM1790" s="8"/>
      <c r="AN1790" s="8"/>
      <c r="AO1790" s="8"/>
      <c r="AP1790" s="8"/>
      <c r="AQ1790" s="8"/>
      <c r="AR1790" s="8"/>
      <c r="AS1790" s="8"/>
      <c r="AT1790" s="8"/>
      <c r="AU1790" s="8"/>
      <c r="AV1790" s="8"/>
      <c r="AW1790" s="8"/>
      <c r="AX1790" s="8"/>
      <c r="AY1790" s="8"/>
      <c r="AZ1790" s="10"/>
    </row>
    <row r="1791" spans="2:52" x14ac:dyDescent="0.35">
      <c r="B1791" s="7"/>
      <c r="C1791" s="8"/>
      <c r="D1791" s="8"/>
      <c r="E1791" s="8"/>
      <c r="F1791" s="8"/>
      <c r="G1791" s="8"/>
      <c r="H1791" s="8"/>
      <c r="I1791" s="8"/>
      <c r="J1791" s="8"/>
      <c r="K1791" s="8"/>
      <c r="L1791" s="8"/>
      <c r="M1791" s="8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  <c r="AG1791" s="8"/>
      <c r="AH1791" s="8"/>
      <c r="AI1791" s="8"/>
      <c r="AJ1791" s="8"/>
      <c r="AK1791" s="8"/>
      <c r="AL1791" s="8"/>
      <c r="AM1791" s="8"/>
      <c r="AN1791" s="8"/>
      <c r="AO1791" s="8"/>
      <c r="AP1791" s="8"/>
      <c r="AQ1791" s="8"/>
      <c r="AR1791" s="8"/>
      <c r="AS1791" s="8"/>
      <c r="AT1791" s="8"/>
      <c r="AU1791" s="8"/>
      <c r="AV1791" s="8"/>
      <c r="AW1791" s="8"/>
      <c r="AX1791" s="8"/>
      <c r="AY1791" s="8"/>
      <c r="AZ1791" s="10"/>
    </row>
    <row r="1792" spans="2:52" x14ac:dyDescent="0.35">
      <c r="B1792" s="7"/>
      <c r="C1792" s="8"/>
      <c r="D1792" s="8"/>
      <c r="E1792" s="8"/>
      <c r="F1792" s="8"/>
      <c r="G1792" s="8"/>
      <c r="H1792" s="8"/>
      <c r="I1792" s="8"/>
      <c r="J1792" s="8"/>
      <c r="K1792" s="8"/>
      <c r="L1792" s="8"/>
      <c r="M1792" s="8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  <c r="AG1792" s="8"/>
      <c r="AH1792" s="8"/>
      <c r="AI1792" s="8"/>
      <c r="AJ1792" s="8"/>
      <c r="AK1792" s="8"/>
      <c r="AL1792" s="8"/>
      <c r="AM1792" s="8"/>
      <c r="AN1792" s="8"/>
      <c r="AO1792" s="8"/>
      <c r="AP1792" s="8"/>
      <c r="AQ1792" s="8"/>
      <c r="AR1792" s="8"/>
      <c r="AS1792" s="8"/>
      <c r="AT1792" s="8"/>
      <c r="AU1792" s="8"/>
      <c r="AV1792" s="8"/>
      <c r="AW1792" s="8"/>
      <c r="AX1792" s="8"/>
      <c r="AY1792" s="8"/>
      <c r="AZ1792" s="10"/>
    </row>
    <row r="1793" spans="2:52" x14ac:dyDescent="0.35">
      <c r="B1793" s="7"/>
      <c r="C1793" s="8"/>
      <c r="D1793" s="8"/>
      <c r="E1793" s="8"/>
      <c r="F1793" s="8"/>
      <c r="G1793" s="8"/>
      <c r="H1793" s="8"/>
      <c r="I1793" s="8"/>
      <c r="J1793" s="8"/>
      <c r="K1793" s="8"/>
      <c r="L1793" s="8"/>
      <c r="M1793" s="8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  <c r="AG1793" s="8"/>
      <c r="AH1793" s="8"/>
      <c r="AI1793" s="8"/>
      <c r="AJ1793" s="8"/>
      <c r="AK1793" s="8"/>
      <c r="AL1793" s="8"/>
      <c r="AM1793" s="8"/>
      <c r="AN1793" s="8"/>
      <c r="AO1793" s="8"/>
      <c r="AP1793" s="8"/>
      <c r="AQ1793" s="8"/>
      <c r="AR1793" s="8"/>
      <c r="AS1793" s="8"/>
      <c r="AT1793" s="8"/>
      <c r="AU1793" s="8"/>
      <c r="AV1793" s="8"/>
      <c r="AW1793" s="8"/>
      <c r="AX1793" s="8"/>
      <c r="AY1793" s="8"/>
      <c r="AZ1793" s="10"/>
    </row>
    <row r="1794" spans="2:52" x14ac:dyDescent="0.35">
      <c r="B1794" s="7"/>
      <c r="C1794" s="8"/>
      <c r="D1794" s="8"/>
      <c r="E1794" s="8"/>
      <c r="F1794" s="8"/>
      <c r="G1794" s="8"/>
      <c r="H1794" s="8"/>
      <c r="I1794" s="8"/>
      <c r="J1794" s="8"/>
      <c r="K1794" s="8"/>
      <c r="L1794" s="8"/>
      <c r="M1794" s="8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  <c r="AD1794" s="8"/>
      <c r="AE1794" s="8"/>
      <c r="AF1794" s="8"/>
      <c r="AG1794" s="8"/>
      <c r="AH1794" s="8"/>
      <c r="AI1794" s="8"/>
      <c r="AJ1794" s="8"/>
      <c r="AK1794" s="8"/>
      <c r="AL1794" s="8"/>
      <c r="AM1794" s="8"/>
      <c r="AN1794" s="8"/>
      <c r="AO1794" s="8"/>
      <c r="AP1794" s="8"/>
      <c r="AQ1794" s="8"/>
      <c r="AR1794" s="8"/>
      <c r="AS1794" s="8"/>
      <c r="AT1794" s="8"/>
      <c r="AU1794" s="8"/>
      <c r="AV1794" s="8"/>
      <c r="AW1794" s="8"/>
      <c r="AX1794" s="8"/>
      <c r="AY1794" s="8"/>
      <c r="AZ1794" s="10"/>
    </row>
    <row r="1795" spans="2:52" x14ac:dyDescent="0.35">
      <c r="B1795" s="7"/>
      <c r="C1795" s="8"/>
      <c r="D1795" s="8"/>
      <c r="E1795" s="8"/>
      <c r="F1795" s="8"/>
      <c r="G1795" s="8"/>
      <c r="H1795" s="8"/>
      <c r="I1795" s="8"/>
      <c r="J1795" s="8"/>
      <c r="K1795" s="8"/>
      <c r="L1795" s="8"/>
      <c r="M1795" s="8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  <c r="AD1795" s="8"/>
      <c r="AE1795" s="8"/>
      <c r="AF1795" s="8"/>
      <c r="AG1795" s="8"/>
      <c r="AH1795" s="8"/>
      <c r="AI1795" s="8"/>
      <c r="AJ1795" s="8"/>
      <c r="AK1795" s="8"/>
      <c r="AL1795" s="8"/>
      <c r="AM1795" s="8"/>
      <c r="AN1795" s="8"/>
      <c r="AO1795" s="8"/>
      <c r="AP1795" s="8"/>
      <c r="AQ1795" s="8"/>
      <c r="AR1795" s="8"/>
      <c r="AS1795" s="8"/>
      <c r="AT1795" s="8"/>
      <c r="AU1795" s="8"/>
      <c r="AV1795" s="8"/>
      <c r="AW1795" s="8"/>
      <c r="AX1795" s="8"/>
      <c r="AY1795" s="8"/>
      <c r="AZ1795" s="10"/>
    </row>
    <row r="1796" spans="2:52" x14ac:dyDescent="0.35">
      <c r="B1796" s="7"/>
      <c r="C1796" s="8"/>
      <c r="D1796" s="8"/>
      <c r="E1796" s="8"/>
      <c r="F1796" s="8"/>
      <c r="G1796" s="8"/>
      <c r="H1796" s="8"/>
      <c r="I1796" s="8"/>
      <c r="J1796" s="8"/>
      <c r="K1796" s="8"/>
      <c r="L1796" s="8"/>
      <c r="M1796" s="8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  <c r="AD1796" s="8"/>
      <c r="AE1796" s="8"/>
      <c r="AF1796" s="8"/>
      <c r="AG1796" s="8"/>
      <c r="AH1796" s="8"/>
      <c r="AI1796" s="8"/>
      <c r="AJ1796" s="8"/>
      <c r="AK1796" s="8"/>
      <c r="AL1796" s="8"/>
      <c r="AM1796" s="8"/>
      <c r="AN1796" s="8"/>
      <c r="AO1796" s="8"/>
      <c r="AP1796" s="8"/>
      <c r="AQ1796" s="8"/>
      <c r="AR1796" s="8"/>
      <c r="AS1796" s="8"/>
      <c r="AT1796" s="8"/>
      <c r="AU1796" s="8"/>
      <c r="AV1796" s="8"/>
      <c r="AW1796" s="8"/>
      <c r="AX1796" s="8"/>
      <c r="AY1796" s="8"/>
      <c r="AZ1796" s="10"/>
    </row>
    <row r="1797" spans="2:52" x14ac:dyDescent="0.35">
      <c r="B1797" s="7"/>
      <c r="C1797" s="8"/>
      <c r="D1797" s="8"/>
      <c r="E1797" s="8"/>
      <c r="F1797" s="8"/>
      <c r="G1797" s="8"/>
      <c r="H1797" s="8"/>
      <c r="I1797" s="8"/>
      <c r="J1797" s="8"/>
      <c r="K1797" s="8"/>
      <c r="L1797" s="8"/>
      <c r="M1797" s="8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  <c r="AD1797" s="8"/>
      <c r="AE1797" s="8"/>
      <c r="AF1797" s="8"/>
      <c r="AG1797" s="8"/>
      <c r="AH1797" s="8"/>
      <c r="AI1797" s="8"/>
      <c r="AJ1797" s="8"/>
      <c r="AK1797" s="8"/>
      <c r="AL1797" s="8"/>
      <c r="AM1797" s="8"/>
      <c r="AN1797" s="8"/>
      <c r="AO1797" s="8"/>
      <c r="AP1797" s="8"/>
      <c r="AQ1797" s="8"/>
      <c r="AR1797" s="8"/>
      <c r="AS1797" s="8"/>
      <c r="AT1797" s="8"/>
      <c r="AU1797" s="8"/>
      <c r="AV1797" s="8"/>
      <c r="AW1797" s="8"/>
      <c r="AX1797" s="8"/>
      <c r="AY1797" s="8"/>
      <c r="AZ1797" s="10"/>
    </row>
    <row r="1798" spans="2:52" x14ac:dyDescent="0.35">
      <c r="B1798" s="7"/>
      <c r="C1798" s="8"/>
      <c r="D1798" s="8"/>
      <c r="E1798" s="8"/>
      <c r="F1798" s="8"/>
      <c r="G1798" s="8"/>
      <c r="H1798" s="8"/>
      <c r="I1798" s="8"/>
      <c r="J1798" s="8"/>
      <c r="K1798" s="8"/>
      <c r="L1798" s="8"/>
      <c r="M1798" s="8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  <c r="AD1798" s="8"/>
      <c r="AE1798" s="8"/>
      <c r="AF1798" s="8"/>
      <c r="AG1798" s="8"/>
      <c r="AH1798" s="8"/>
      <c r="AI1798" s="8"/>
      <c r="AJ1798" s="8"/>
      <c r="AK1798" s="8"/>
      <c r="AL1798" s="8"/>
      <c r="AM1798" s="8"/>
      <c r="AN1798" s="8"/>
      <c r="AO1798" s="8"/>
      <c r="AP1798" s="8"/>
      <c r="AQ1798" s="8"/>
      <c r="AR1798" s="8"/>
      <c r="AS1798" s="8"/>
      <c r="AT1798" s="8"/>
      <c r="AU1798" s="8"/>
      <c r="AV1798" s="8"/>
      <c r="AW1798" s="8"/>
      <c r="AX1798" s="8"/>
      <c r="AY1798" s="8"/>
      <c r="AZ1798" s="10"/>
    </row>
    <row r="1799" spans="2:52" x14ac:dyDescent="0.35">
      <c r="B1799" s="7"/>
      <c r="C1799" s="8"/>
      <c r="D1799" s="8"/>
      <c r="E1799" s="8"/>
      <c r="F1799" s="8"/>
      <c r="G1799" s="8"/>
      <c r="H1799" s="8"/>
      <c r="I1799" s="8"/>
      <c r="J1799" s="8"/>
      <c r="K1799" s="8"/>
      <c r="L1799" s="8"/>
      <c r="M1799" s="8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  <c r="AD1799" s="8"/>
      <c r="AE1799" s="8"/>
      <c r="AF1799" s="8"/>
      <c r="AG1799" s="8"/>
      <c r="AH1799" s="8"/>
      <c r="AI1799" s="8"/>
      <c r="AJ1799" s="8"/>
      <c r="AK1799" s="8"/>
      <c r="AL1799" s="8"/>
      <c r="AM1799" s="8"/>
      <c r="AN1799" s="8"/>
      <c r="AO1799" s="8"/>
      <c r="AP1799" s="8"/>
      <c r="AQ1799" s="8"/>
      <c r="AR1799" s="8"/>
      <c r="AS1799" s="8"/>
      <c r="AT1799" s="8"/>
      <c r="AU1799" s="8"/>
      <c r="AV1799" s="8"/>
      <c r="AW1799" s="8"/>
      <c r="AX1799" s="8"/>
      <c r="AY1799" s="8"/>
      <c r="AZ1799" s="10"/>
    </row>
    <row r="1800" spans="2:52" x14ac:dyDescent="0.35">
      <c r="B1800" s="7"/>
      <c r="C1800" s="8"/>
      <c r="D1800" s="8"/>
      <c r="E1800" s="8"/>
      <c r="F1800" s="8"/>
      <c r="G1800" s="8"/>
      <c r="H1800" s="8"/>
      <c r="I1800" s="8"/>
      <c r="J1800" s="8"/>
      <c r="K1800" s="8"/>
      <c r="L1800" s="8"/>
      <c r="M1800" s="8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  <c r="AD1800" s="8"/>
      <c r="AE1800" s="8"/>
      <c r="AF1800" s="8"/>
      <c r="AG1800" s="8"/>
      <c r="AH1800" s="8"/>
      <c r="AI1800" s="8"/>
      <c r="AJ1800" s="8"/>
      <c r="AK1800" s="8"/>
      <c r="AL1800" s="8"/>
      <c r="AM1800" s="8"/>
      <c r="AN1800" s="8"/>
      <c r="AO1800" s="8"/>
      <c r="AP1800" s="8"/>
      <c r="AQ1800" s="8"/>
      <c r="AR1800" s="8"/>
      <c r="AS1800" s="8"/>
      <c r="AT1800" s="8"/>
      <c r="AU1800" s="8"/>
      <c r="AV1800" s="8"/>
      <c r="AW1800" s="8"/>
      <c r="AX1800" s="8"/>
      <c r="AY1800" s="8"/>
      <c r="AZ1800" s="10"/>
    </row>
    <row r="1801" spans="2:52" x14ac:dyDescent="0.35">
      <c r="B1801" s="7"/>
      <c r="C1801" s="8"/>
      <c r="D1801" s="8"/>
      <c r="E1801" s="8"/>
      <c r="F1801" s="8"/>
      <c r="G1801" s="8"/>
      <c r="H1801" s="8"/>
      <c r="I1801" s="8"/>
      <c r="J1801" s="8"/>
      <c r="K1801" s="8"/>
      <c r="L1801" s="8"/>
      <c r="M1801" s="8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  <c r="AD1801" s="8"/>
      <c r="AE1801" s="8"/>
      <c r="AF1801" s="8"/>
      <c r="AG1801" s="8"/>
      <c r="AH1801" s="8"/>
      <c r="AI1801" s="8"/>
      <c r="AJ1801" s="8"/>
      <c r="AK1801" s="8"/>
      <c r="AL1801" s="8"/>
      <c r="AM1801" s="8"/>
      <c r="AN1801" s="8"/>
      <c r="AO1801" s="8"/>
      <c r="AP1801" s="8"/>
      <c r="AQ1801" s="8"/>
      <c r="AR1801" s="8"/>
      <c r="AS1801" s="8"/>
      <c r="AT1801" s="8"/>
      <c r="AU1801" s="8"/>
      <c r="AV1801" s="8"/>
      <c r="AW1801" s="8"/>
      <c r="AX1801" s="8"/>
      <c r="AY1801" s="8"/>
      <c r="AZ1801" s="10"/>
    </row>
    <row r="1802" spans="2:52" x14ac:dyDescent="0.35">
      <c r="B1802" s="7"/>
      <c r="C1802" s="8"/>
      <c r="D1802" s="8"/>
      <c r="E1802" s="8"/>
      <c r="F1802" s="8"/>
      <c r="G1802" s="8"/>
      <c r="H1802" s="8"/>
      <c r="I1802" s="8"/>
      <c r="J1802" s="8"/>
      <c r="K1802" s="8"/>
      <c r="L1802" s="8"/>
      <c r="M1802" s="8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8"/>
      <c r="AE1802" s="8"/>
      <c r="AF1802" s="8"/>
      <c r="AG1802" s="8"/>
      <c r="AH1802" s="8"/>
      <c r="AI1802" s="8"/>
      <c r="AJ1802" s="8"/>
      <c r="AK1802" s="8"/>
      <c r="AL1802" s="8"/>
      <c r="AM1802" s="8"/>
      <c r="AN1802" s="8"/>
      <c r="AO1802" s="8"/>
      <c r="AP1802" s="8"/>
      <c r="AQ1802" s="8"/>
      <c r="AR1802" s="8"/>
      <c r="AS1802" s="8"/>
      <c r="AT1802" s="8"/>
      <c r="AU1802" s="8"/>
      <c r="AV1802" s="8"/>
      <c r="AW1802" s="8"/>
      <c r="AX1802" s="8"/>
      <c r="AY1802" s="8"/>
      <c r="AZ1802" s="10"/>
    </row>
    <row r="1803" spans="2:52" x14ac:dyDescent="0.35">
      <c r="B1803" s="7"/>
      <c r="C1803" s="8"/>
      <c r="D1803" s="8"/>
      <c r="E1803" s="8"/>
      <c r="F1803" s="8"/>
      <c r="G1803" s="8"/>
      <c r="H1803" s="8"/>
      <c r="I1803" s="8"/>
      <c r="J1803" s="8"/>
      <c r="K1803" s="8"/>
      <c r="L1803" s="8"/>
      <c r="M1803" s="8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8"/>
      <c r="AE1803" s="8"/>
      <c r="AF1803" s="8"/>
      <c r="AG1803" s="8"/>
      <c r="AH1803" s="8"/>
      <c r="AI1803" s="8"/>
      <c r="AJ1803" s="8"/>
      <c r="AK1803" s="8"/>
      <c r="AL1803" s="8"/>
      <c r="AM1803" s="8"/>
      <c r="AN1803" s="8"/>
      <c r="AO1803" s="8"/>
      <c r="AP1803" s="8"/>
      <c r="AQ1803" s="8"/>
      <c r="AR1803" s="8"/>
      <c r="AS1803" s="8"/>
      <c r="AT1803" s="8"/>
      <c r="AU1803" s="8"/>
      <c r="AV1803" s="8"/>
      <c r="AW1803" s="8"/>
      <c r="AX1803" s="8"/>
      <c r="AY1803" s="8"/>
      <c r="AZ1803" s="10"/>
    </row>
    <row r="1804" spans="2:52" x14ac:dyDescent="0.35">
      <c r="B1804" s="7"/>
      <c r="C1804" s="8"/>
      <c r="D1804" s="8"/>
      <c r="E1804" s="8"/>
      <c r="F1804" s="8"/>
      <c r="G1804" s="8"/>
      <c r="H1804" s="8"/>
      <c r="I1804" s="8"/>
      <c r="J1804" s="8"/>
      <c r="K1804" s="8"/>
      <c r="L1804" s="8"/>
      <c r="M1804" s="8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8"/>
      <c r="AE1804" s="8"/>
      <c r="AF1804" s="8"/>
      <c r="AG1804" s="8"/>
      <c r="AH1804" s="8"/>
      <c r="AI1804" s="8"/>
      <c r="AJ1804" s="8"/>
      <c r="AK1804" s="8"/>
      <c r="AL1804" s="8"/>
      <c r="AM1804" s="8"/>
      <c r="AN1804" s="8"/>
      <c r="AO1804" s="8"/>
      <c r="AP1804" s="8"/>
      <c r="AQ1804" s="8"/>
      <c r="AR1804" s="8"/>
      <c r="AS1804" s="8"/>
      <c r="AT1804" s="8"/>
      <c r="AU1804" s="8"/>
      <c r="AV1804" s="8"/>
      <c r="AW1804" s="8"/>
      <c r="AX1804" s="8"/>
      <c r="AY1804" s="8"/>
      <c r="AZ1804" s="10"/>
    </row>
    <row r="1805" spans="2:52" x14ac:dyDescent="0.35">
      <c r="B1805" s="7"/>
      <c r="C1805" s="8"/>
      <c r="D1805" s="8"/>
      <c r="E1805" s="8"/>
      <c r="F1805" s="8"/>
      <c r="G1805" s="8"/>
      <c r="H1805" s="8"/>
      <c r="I1805" s="8"/>
      <c r="J1805" s="8"/>
      <c r="K1805" s="8"/>
      <c r="L1805" s="8"/>
      <c r="M1805" s="8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  <c r="AD1805" s="8"/>
      <c r="AE1805" s="8"/>
      <c r="AF1805" s="8"/>
      <c r="AG1805" s="8"/>
      <c r="AH1805" s="8"/>
      <c r="AI1805" s="8"/>
      <c r="AJ1805" s="8"/>
      <c r="AK1805" s="8"/>
      <c r="AL1805" s="8"/>
      <c r="AM1805" s="8"/>
      <c r="AN1805" s="8"/>
      <c r="AO1805" s="8"/>
      <c r="AP1805" s="8"/>
      <c r="AQ1805" s="8"/>
      <c r="AR1805" s="8"/>
      <c r="AS1805" s="8"/>
      <c r="AT1805" s="8"/>
      <c r="AU1805" s="8"/>
      <c r="AV1805" s="8"/>
      <c r="AW1805" s="8"/>
      <c r="AX1805" s="8"/>
      <c r="AY1805" s="8"/>
      <c r="AZ1805" s="10"/>
    </row>
    <row r="1806" spans="2:52" x14ac:dyDescent="0.35">
      <c r="B1806" s="7"/>
      <c r="C1806" s="8"/>
      <c r="D1806" s="8"/>
      <c r="E1806" s="8"/>
      <c r="F1806" s="8"/>
      <c r="G1806" s="8"/>
      <c r="H1806" s="8"/>
      <c r="I1806" s="8"/>
      <c r="J1806" s="8"/>
      <c r="K1806" s="8"/>
      <c r="L1806" s="8"/>
      <c r="M1806" s="8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8"/>
      <c r="AE1806" s="8"/>
      <c r="AF1806" s="8"/>
      <c r="AG1806" s="8"/>
      <c r="AH1806" s="8"/>
      <c r="AI1806" s="8"/>
      <c r="AJ1806" s="8"/>
      <c r="AK1806" s="8"/>
      <c r="AL1806" s="8"/>
      <c r="AM1806" s="8"/>
      <c r="AN1806" s="8"/>
      <c r="AO1806" s="8"/>
      <c r="AP1806" s="8"/>
      <c r="AQ1806" s="8"/>
      <c r="AR1806" s="8"/>
      <c r="AS1806" s="8"/>
      <c r="AT1806" s="8"/>
      <c r="AU1806" s="8"/>
      <c r="AV1806" s="8"/>
      <c r="AW1806" s="8"/>
      <c r="AX1806" s="8"/>
      <c r="AY1806" s="8"/>
      <c r="AZ1806" s="10"/>
    </row>
    <row r="1807" spans="2:52" x14ac:dyDescent="0.35">
      <c r="B1807" s="7"/>
      <c r="C1807" s="8"/>
      <c r="D1807" s="8"/>
      <c r="E1807" s="8"/>
      <c r="F1807" s="8"/>
      <c r="G1807" s="8"/>
      <c r="H1807" s="8"/>
      <c r="I1807" s="8"/>
      <c r="J1807" s="8"/>
      <c r="K1807" s="8"/>
      <c r="L1807" s="8"/>
      <c r="M1807" s="8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  <c r="AD1807" s="8"/>
      <c r="AE1807" s="8"/>
      <c r="AF1807" s="8"/>
      <c r="AG1807" s="8"/>
      <c r="AH1807" s="8"/>
      <c r="AI1807" s="8"/>
      <c r="AJ1807" s="8"/>
      <c r="AK1807" s="8"/>
      <c r="AL1807" s="8"/>
      <c r="AM1807" s="8"/>
      <c r="AN1807" s="8"/>
      <c r="AO1807" s="8"/>
      <c r="AP1807" s="8"/>
      <c r="AQ1807" s="8"/>
      <c r="AR1807" s="8"/>
      <c r="AS1807" s="8"/>
      <c r="AT1807" s="8"/>
      <c r="AU1807" s="8"/>
      <c r="AV1807" s="8"/>
      <c r="AW1807" s="8"/>
      <c r="AX1807" s="8"/>
      <c r="AY1807" s="8"/>
      <c r="AZ1807" s="10"/>
    </row>
    <row r="1808" spans="2:52" x14ac:dyDescent="0.35">
      <c r="B1808" s="7"/>
      <c r="C1808" s="8"/>
      <c r="D1808" s="8"/>
      <c r="E1808" s="8"/>
      <c r="F1808" s="8"/>
      <c r="G1808" s="8"/>
      <c r="H1808" s="8"/>
      <c r="I1808" s="8"/>
      <c r="J1808" s="8"/>
      <c r="K1808" s="8"/>
      <c r="L1808" s="8"/>
      <c r="M1808" s="8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8"/>
      <c r="AE1808" s="8"/>
      <c r="AF1808" s="8"/>
      <c r="AG1808" s="8"/>
      <c r="AH1808" s="8"/>
      <c r="AI1808" s="8"/>
      <c r="AJ1808" s="8"/>
      <c r="AK1808" s="8"/>
      <c r="AL1808" s="8"/>
      <c r="AM1808" s="8"/>
      <c r="AN1808" s="8"/>
      <c r="AO1808" s="8"/>
      <c r="AP1808" s="8"/>
      <c r="AQ1808" s="8"/>
      <c r="AR1808" s="8"/>
      <c r="AS1808" s="8"/>
      <c r="AT1808" s="8"/>
      <c r="AU1808" s="8"/>
      <c r="AV1808" s="8"/>
      <c r="AW1808" s="8"/>
      <c r="AX1808" s="8"/>
      <c r="AY1808" s="8"/>
      <c r="AZ1808" s="10"/>
    </row>
    <row r="1809" spans="2:52" x14ac:dyDescent="0.35">
      <c r="B1809" s="7"/>
      <c r="C1809" s="8"/>
      <c r="D1809" s="8"/>
      <c r="E1809" s="8"/>
      <c r="F1809" s="8"/>
      <c r="G1809" s="8"/>
      <c r="H1809" s="8"/>
      <c r="I1809" s="8"/>
      <c r="J1809" s="8"/>
      <c r="K1809" s="8"/>
      <c r="L1809" s="8"/>
      <c r="M1809" s="8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8"/>
      <c r="AE1809" s="8"/>
      <c r="AF1809" s="8"/>
      <c r="AG1809" s="8"/>
      <c r="AH1809" s="8"/>
      <c r="AI1809" s="8"/>
      <c r="AJ1809" s="8"/>
      <c r="AK1809" s="8"/>
      <c r="AL1809" s="8"/>
      <c r="AM1809" s="8"/>
      <c r="AN1809" s="8"/>
      <c r="AO1809" s="8"/>
      <c r="AP1809" s="8"/>
      <c r="AQ1809" s="8"/>
      <c r="AR1809" s="8"/>
      <c r="AS1809" s="8"/>
      <c r="AT1809" s="8"/>
      <c r="AU1809" s="8"/>
      <c r="AV1809" s="8"/>
      <c r="AW1809" s="8"/>
      <c r="AX1809" s="8"/>
      <c r="AY1809" s="8"/>
      <c r="AZ1809" s="10"/>
    </row>
    <row r="1810" spans="2:52" x14ac:dyDescent="0.35">
      <c r="B1810" s="7"/>
      <c r="C1810" s="8"/>
      <c r="D1810" s="8"/>
      <c r="E1810" s="8"/>
      <c r="F1810" s="8"/>
      <c r="G1810" s="8"/>
      <c r="H1810" s="8"/>
      <c r="I1810" s="8"/>
      <c r="J1810" s="8"/>
      <c r="K1810" s="8"/>
      <c r="L1810" s="8"/>
      <c r="M1810" s="8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  <c r="AD1810" s="8"/>
      <c r="AE1810" s="8"/>
      <c r="AF1810" s="8"/>
      <c r="AG1810" s="8"/>
      <c r="AH1810" s="8"/>
      <c r="AI1810" s="8"/>
      <c r="AJ1810" s="8"/>
      <c r="AK1810" s="8"/>
      <c r="AL1810" s="8"/>
      <c r="AM1810" s="8"/>
      <c r="AN1810" s="8"/>
      <c r="AO1810" s="8"/>
      <c r="AP1810" s="8"/>
      <c r="AQ1810" s="8"/>
      <c r="AR1810" s="8"/>
      <c r="AS1810" s="8"/>
      <c r="AT1810" s="8"/>
      <c r="AU1810" s="8"/>
      <c r="AV1810" s="8"/>
      <c r="AW1810" s="8"/>
      <c r="AX1810" s="8"/>
      <c r="AY1810" s="8"/>
      <c r="AZ1810" s="10"/>
    </row>
    <row r="1811" spans="2:52" x14ac:dyDescent="0.35">
      <c r="B1811" s="7"/>
      <c r="C1811" s="8"/>
      <c r="D1811" s="8"/>
      <c r="E1811" s="8"/>
      <c r="F1811" s="8"/>
      <c r="G1811" s="8"/>
      <c r="H1811" s="8"/>
      <c r="I1811" s="8"/>
      <c r="J1811" s="8"/>
      <c r="K1811" s="8"/>
      <c r="L1811" s="8"/>
      <c r="M1811" s="8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  <c r="AD1811" s="8"/>
      <c r="AE1811" s="8"/>
      <c r="AF1811" s="8"/>
      <c r="AG1811" s="8"/>
      <c r="AH1811" s="8"/>
      <c r="AI1811" s="8"/>
      <c r="AJ1811" s="8"/>
      <c r="AK1811" s="8"/>
      <c r="AL1811" s="8"/>
      <c r="AM1811" s="8"/>
      <c r="AN1811" s="8"/>
      <c r="AO1811" s="8"/>
      <c r="AP1811" s="8"/>
      <c r="AQ1811" s="8"/>
      <c r="AR1811" s="8"/>
      <c r="AS1811" s="8"/>
      <c r="AT1811" s="8"/>
      <c r="AU1811" s="8"/>
      <c r="AV1811" s="8"/>
      <c r="AW1811" s="8"/>
      <c r="AX1811" s="8"/>
      <c r="AY1811" s="8"/>
      <c r="AZ1811" s="10"/>
    </row>
    <row r="1812" spans="2:52" x14ac:dyDescent="0.35">
      <c r="B1812" s="7"/>
      <c r="C1812" s="8"/>
      <c r="D1812" s="8"/>
      <c r="E1812" s="8"/>
      <c r="F1812" s="8"/>
      <c r="G1812" s="8"/>
      <c r="H1812" s="8"/>
      <c r="I1812" s="8"/>
      <c r="J1812" s="8"/>
      <c r="K1812" s="8"/>
      <c r="L1812" s="8"/>
      <c r="M1812" s="8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  <c r="AD1812" s="8"/>
      <c r="AE1812" s="8"/>
      <c r="AF1812" s="8"/>
      <c r="AG1812" s="8"/>
      <c r="AH1812" s="8"/>
      <c r="AI1812" s="8"/>
      <c r="AJ1812" s="8"/>
      <c r="AK1812" s="8"/>
      <c r="AL1812" s="8"/>
      <c r="AM1812" s="8"/>
      <c r="AN1812" s="8"/>
      <c r="AO1812" s="8"/>
      <c r="AP1812" s="8"/>
      <c r="AQ1812" s="8"/>
      <c r="AR1812" s="8"/>
      <c r="AS1812" s="8"/>
      <c r="AT1812" s="8"/>
      <c r="AU1812" s="8"/>
      <c r="AV1812" s="8"/>
      <c r="AW1812" s="8"/>
      <c r="AX1812" s="8"/>
      <c r="AY1812" s="8"/>
      <c r="AZ1812" s="10"/>
    </row>
    <row r="1813" spans="2:52" x14ac:dyDescent="0.35">
      <c r="B1813" s="7"/>
      <c r="C1813" s="8"/>
      <c r="D1813" s="8"/>
      <c r="E1813" s="8"/>
      <c r="F1813" s="8"/>
      <c r="G1813" s="8"/>
      <c r="H1813" s="8"/>
      <c r="I1813" s="8"/>
      <c r="J1813" s="8"/>
      <c r="K1813" s="8"/>
      <c r="L1813" s="8"/>
      <c r="M1813" s="8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  <c r="AD1813" s="8"/>
      <c r="AE1813" s="8"/>
      <c r="AF1813" s="8"/>
      <c r="AG1813" s="8"/>
      <c r="AH1813" s="8"/>
      <c r="AI1813" s="8"/>
      <c r="AJ1813" s="8"/>
      <c r="AK1813" s="8"/>
      <c r="AL1813" s="8"/>
      <c r="AM1813" s="8"/>
      <c r="AN1813" s="8"/>
      <c r="AO1813" s="8"/>
      <c r="AP1813" s="8"/>
      <c r="AQ1813" s="8"/>
      <c r="AR1813" s="8"/>
      <c r="AS1813" s="8"/>
      <c r="AT1813" s="8"/>
      <c r="AU1813" s="8"/>
      <c r="AV1813" s="8"/>
      <c r="AW1813" s="8"/>
      <c r="AX1813" s="8"/>
      <c r="AY1813" s="8"/>
      <c r="AZ1813" s="10"/>
    </row>
    <row r="1814" spans="2:52" x14ac:dyDescent="0.35">
      <c r="B1814" s="7"/>
      <c r="C1814" s="8"/>
      <c r="D1814" s="8"/>
      <c r="E1814" s="8"/>
      <c r="F1814" s="8"/>
      <c r="G1814" s="8"/>
      <c r="H1814" s="8"/>
      <c r="I1814" s="8"/>
      <c r="J1814" s="8"/>
      <c r="K1814" s="8"/>
      <c r="L1814" s="8"/>
      <c r="M1814" s="8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  <c r="AD1814" s="8"/>
      <c r="AE1814" s="8"/>
      <c r="AF1814" s="8"/>
      <c r="AG1814" s="8"/>
      <c r="AH1814" s="8"/>
      <c r="AI1814" s="8"/>
      <c r="AJ1814" s="8"/>
      <c r="AK1814" s="8"/>
      <c r="AL1814" s="8"/>
      <c r="AM1814" s="8"/>
      <c r="AN1814" s="8"/>
      <c r="AO1814" s="8"/>
      <c r="AP1814" s="8"/>
      <c r="AQ1814" s="8"/>
      <c r="AR1814" s="8"/>
      <c r="AS1814" s="8"/>
      <c r="AT1814" s="8"/>
      <c r="AU1814" s="8"/>
      <c r="AV1814" s="8"/>
      <c r="AW1814" s="8"/>
      <c r="AX1814" s="8"/>
      <c r="AY1814" s="8"/>
      <c r="AZ1814" s="10"/>
    </row>
    <row r="1815" spans="2:52" x14ac:dyDescent="0.35">
      <c r="B1815" s="7"/>
      <c r="C1815" s="8"/>
      <c r="D1815" s="8"/>
      <c r="E1815" s="8"/>
      <c r="F1815" s="8"/>
      <c r="G1815" s="8"/>
      <c r="H1815" s="8"/>
      <c r="I1815" s="8"/>
      <c r="J1815" s="8"/>
      <c r="K1815" s="8"/>
      <c r="L1815" s="8"/>
      <c r="M1815" s="8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  <c r="AD1815" s="8"/>
      <c r="AE1815" s="8"/>
      <c r="AF1815" s="8"/>
      <c r="AG1815" s="8"/>
      <c r="AH1815" s="8"/>
      <c r="AI1815" s="8"/>
      <c r="AJ1815" s="8"/>
      <c r="AK1815" s="8"/>
      <c r="AL1815" s="8"/>
      <c r="AM1815" s="8"/>
      <c r="AN1815" s="8"/>
      <c r="AO1815" s="8"/>
      <c r="AP1815" s="8"/>
      <c r="AQ1815" s="8"/>
      <c r="AR1815" s="8"/>
      <c r="AS1815" s="8"/>
      <c r="AT1815" s="8"/>
      <c r="AU1815" s="8"/>
      <c r="AV1815" s="8"/>
      <c r="AW1815" s="8"/>
      <c r="AX1815" s="8"/>
      <c r="AY1815" s="8"/>
      <c r="AZ1815" s="10"/>
    </row>
    <row r="1816" spans="2:52" x14ac:dyDescent="0.35">
      <c r="B1816" s="7"/>
      <c r="C1816" s="8"/>
      <c r="D1816" s="8"/>
      <c r="E1816" s="8"/>
      <c r="F1816" s="8"/>
      <c r="G1816" s="8"/>
      <c r="H1816" s="8"/>
      <c r="I1816" s="8"/>
      <c r="J1816" s="8"/>
      <c r="K1816" s="8"/>
      <c r="L1816" s="8"/>
      <c r="M1816" s="8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  <c r="AD1816" s="8"/>
      <c r="AE1816" s="8"/>
      <c r="AF1816" s="8"/>
      <c r="AG1816" s="8"/>
      <c r="AH1816" s="8"/>
      <c r="AI1816" s="8"/>
      <c r="AJ1816" s="8"/>
      <c r="AK1816" s="8"/>
      <c r="AL1816" s="8"/>
      <c r="AM1816" s="8"/>
      <c r="AN1816" s="8"/>
      <c r="AO1816" s="8"/>
      <c r="AP1816" s="8"/>
      <c r="AQ1816" s="8"/>
      <c r="AR1816" s="8"/>
      <c r="AS1816" s="8"/>
      <c r="AT1816" s="8"/>
      <c r="AU1816" s="8"/>
      <c r="AV1816" s="8"/>
      <c r="AW1816" s="8"/>
      <c r="AX1816" s="8"/>
      <c r="AY1816" s="8"/>
      <c r="AZ1816" s="10"/>
    </row>
    <row r="1817" spans="2:52" x14ac:dyDescent="0.35">
      <c r="B1817" s="7"/>
      <c r="C1817" s="8"/>
      <c r="D1817" s="8"/>
      <c r="E1817" s="8"/>
      <c r="F1817" s="8"/>
      <c r="G1817" s="8"/>
      <c r="H1817" s="8"/>
      <c r="I1817" s="8"/>
      <c r="J1817" s="8"/>
      <c r="K1817" s="8"/>
      <c r="L1817" s="8"/>
      <c r="M1817" s="8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  <c r="AD1817" s="8"/>
      <c r="AE1817" s="8"/>
      <c r="AF1817" s="8"/>
      <c r="AG1817" s="8"/>
      <c r="AH1817" s="8"/>
      <c r="AI1817" s="8"/>
      <c r="AJ1817" s="8"/>
      <c r="AK1817" s="8"/>
      <c r="AL1817" s="8"/>
      <c r="AM1817" s="8"/>
      <c r="AN1817" s="8"/>
      <c r="AO1817" s="8"/>
      <c r="AP1817" s="8"/>
      <c r="AQ1817" s="8"/>
      <c r="AR1817" s="8"/>
      <c r="AS1817" s="8"/>
      <c r="AT1817" s="8"/>
      <c r="AU1817" s="8"/>
      <c r="AV1817" s="8"/>
      <c r="AW1817" s="8"/>
      <c r="AX1817" s="8"/>
      <c r="AY1817" s="8"/>
      <c r="AZ1817" s="10"/>
    </row>
    <row r="1818" spans="2:52" x14ac:dyDescent="0.35">
      <c r="B1818" s="7"/>
      <c r="C1818" s="8"/>
      <c r="D1818" s="8"/>
      <c r="E1818" s="8"/>
      <c r="F1818" s="8"/>
      <c r="G1818" s="8"/>
      <c r="H1818" s="8"/>
      <c r="I1818" s="8"/>
      <c r="J1818" s="8"/>
      <c r="K1818" s="8"/>
      <c r="L1818" s="8"/>
      <c r="M1818" s="8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  <c r="AD1818" s="8"/>
      <c r="AE1818" s="8"/>
      <c r="AF1818" s="8"/>
      <c r="AG1818" s="8"/>
      <c r="AH1818" s="8"/>
      <c r="AI1818" s="8"/>
      <c r="AJ1818" s="8"/>
      <c r="AK1818" s="8"/>
      <c r="AL1818" s="8"/>
      <c r="AM1818" s="8"/>
      <c r="AN1818" s="8"/>
      <c r="AO1818" s="8"/>
      <c r="AP1818" s="8"/>
      <c r="AQ1818" s="8"/>
      <c r="AR1818" s="8"/>
      <c r="AS1818" s="8"/>
      <c r="AT1818" s="8"/>
      <c r="AU1818" s="8"/>
      <c r="AV1818" s="8"/>
      <c r="AW1818" s="8"/>
      <c r="AX1818" s="8"/>
      <c r="AY1818" s="8"/>
      <c r="AZ1818" s="10"/>
    </row>
    <row r="1819" spans="2:52" x14ac:dyDescent="0.35">
      <c r="B1819" s="7"/>
      <c r="C1819" s="8"/>
      <c r="D1819" s="8"/>
      <c r="E1819" s="8"/>
      <c r="F1819" s="8"/>
      <c r="G1819" s="8"/>
      <c r="H1819" s="8"/>
      <c r="I1819" s="8"/>
      <c r="J1819" s="8"/>
      <c r="K1819" s="8"/>
      <c r="L1819" s="8"/>
      <c r="M1819" s="8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  <c r="AD1819" s="8"/>
      <c r="AE1819" s="8"/>
      <c r="AF1819" s="8"/>
      <c r="AG1819" s="8"/>
      <c r="AH1819" s="8"/>
      <c r="AI1819" s="8"/>
      <c r="AJ1819" s="8"/>
      <c r="AK1819" s="8"/>
      <c r="AL1819" s="8"/>
      <c r="AM1819" s="8"/>
      <c r="AN1819" s="8"/>
      <c r="AO1819" s="8"/>
      <c r="AP1819" s="8"/>
      <c r="AQ1819" s="8"/>
      <c r="AR1819" s="8"/>
      <c r="AS1819" s="8"/>
      <c r="AT1819" s="8"/>
      <c r="AU1819" s="8"/>
      <c r="AV1819" s="8"/>
      <c r="AW1819" s="8"/>
      <c r="AX1819" s="8"/>
      <c r="AY1819" s="8"/>
      <c r="AZ1819" s="10"/>
    </row>
    <row r="1820" spans="2:52" x14ac:dyDescent="0.35">
      <c r="B1820" s="7"/>
      <c r="C1820" s="8"/>
      <c r="D1820" s="8"/>
      <c r="E1820" s="8"/>
      <c r="F1820" s="8"/>
      <c r="G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  <c r="AD1820" s="8"/>
      <c r="AE1820" s="8"/>
      <c r="AF1820" s="8"/>
      <c r="AG1820" s="8"/>
      <c r="AH1820" s="8"/>
      <c r="AI1820" s="8"/>
      <c r="AJ1820" s="8"/>
      <c r="AK1820" s="8"/>
      <c r="AL1820" s="8"/>
      <c r="AM1820" s="8"/>
      <c r="AN1820" s="8"/>
      <c r="AO1820" s="8"/>
      <c r="AP1820" s="8"/>
      <c r="AQ1820" s="8"/>
      <c r="AR1820" s="8"/>
      <c r="AS1820" s="8"/>
      <c r="AT1820" s="8"/>
      <c r="AU1820" s="8"/>
      <c r="AV1820" s="8"/>
      <c r="AW1820" s="8"/>
      <c r="AX1820" s="8"/>
      <c r="AY1820" s="8"/>
      <c r="AZ1820" s="10"/>
    </row>
    <row r="1821" spans="2:52" x14ac:dyDescent="0.35">
      <c r="B1821" s="7"/>
      <c r="C1821" s="8"/>
      <c r="D1821" s="8"/>
      <c r="E1821" s="8"/>
      <c r="F1821" s="8"/>
      <c r="G1821" s="8"/>
      <c r="H1821" s="8"/>
      <c r="I1821" s="8"/>
      <c r="J1821" s="8"/>
      <c r="K1821" s="8"/>
      <c r="L1821" s="8"/>
      <c r="M1821" s="8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  <c r="AD1821" s="8"/>
      <c r="AE1821" s="8"/>
      <c r="AF1821" s="8"/>
      <c r="AG1821" s="8"/>
      <c r="AH1821" s="8"/>
      <c r="AI1821" s="8"/>
      <c r="AJ1821" s="8"/>
      <c r="AK1821" s="8"/>
      <c r="AL1821" s="8"/>
      <c r="AM1821" s="8"/>
      <c r="AN1821" s="8"/>
      <c r="AO1821" s="8"/>
      <c r="AP1821" s="8"/>
      <c r="AQ1821" s="8"/>
      <c r="AR1821" s="8"/>
      <c r="AS1821" s="8"/>
      <c r="AT1821" s="8"/>
      <c r="AU1821" s="8"/>
      <c r="AV1821" s="8"/>
      <c r="AW1821" s="8"/>
      <c r="AX1821" s="8"/>
      <c r="AY1821" s="8"/>
      <c r="AZ1821" s="10"/>
    </row>
    <row r="1822" spans="2:52" x14ac:dyDescent="0.35">
      <c r="B1822" s="7"/>
      <c r="C1822" s="8"/>
      <c r="D1822" s="8"/>
      <c r="E1822" s="8"/>
      <c r="F1822" s="8"/>
      <c r="G1822" s="8"/>
      <c r="H1822" s="8"/>
      <c r="I1822" s="8"/>
      <c r="J1822" s="8"/>
      <c r="K1822" s="8"/>
      <c r="L1822" s="8"/>
      <c r="M1822" s="8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8"/>
      <c r="AE1822" s="8"/>
      <c r="AF1822" s="8"/>
      <c r="AG1822" s="8"/>
      <c r="AH1822" s="8"/>
      <c r="AI1822" s="8"/>
      <c r="AJ1822" s="8"/>
      <c r="AK1822" s="8"/>
      <c r="AL1822" s="8"/>
      <c r="AM1822" s="8"/>
      <c r="AN1822" s="8"/>
      <c r="AO1822" s="8"/>
      <c r="AP1822" s="8"/>
      <c r="AQ1822" s="8"/>
      <c r="AR1822" s="8"/>
      <c r="AS1822" s="8"/>
      <c r="AT1822" s="8"/>
      <c r="AU1822" s="8"/>
      <c r="AV1822" s="8"/>
      <c r="AW1822" s="8"/>
      <c r="AX1822" s="8"/>
      <c r="AY1822" s="8"/>
      <c r="AZ1822" s="10"/>
    </row>
    <row r="1823" spans="2:52" x14ac:dyDescent="0.35">
      <c r="B1823" s="7"/>
      <c r="C1823" s="8"/>
      <c r="D1823" s="8"/>
      <c r="E1823" s="8"/>
      <c r="F1823" s="8"/>
      <c r="G1823" s="8"/>
      <c r="H1823" s="8"/>
      <c r="I1823" s="8"/>
      <c r="J1823" s="8"/>
      <c r="K1823" s="8"/>
      <c r="L1823" s="8"/>
      <c r="M1823" s="8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  <c r="AD1823" s="8"/>
      <c r="AE1823" s="8"/>
      <c r="AF1823" s="8"/>
      <c r="AG1823" s="8"/>
      <c r="AH1823" s="8"/>
      <c r="AI1823" s="8"/>
      <c r="AJ1823" s="8"/>
      <c r="AK1823" s="8"/>
      <c r="AL1823" s="8"/>
      <c r="AM1823" s="8"/>
      <c r="AN1823" s="8"/>
      <c r="AO1823" s="8"/>
      <c r="AP1823" s="8"/>
      <c r="AQ1823" s="8"/>
      <c r="AR1823" s="8"/>
      <c r="AS1823" s="8"/>
      <c r="AT1823" s="8"/>
      <c r="AU1823" s="8"/>
      <c r="AV1823" s="8"/>
      <c r="AW1823" s="8"/>
      <c r="AX1823" s="8"/>
      <c r="AY1823" s="8"/>
      <c r="AZ1823" s="10"/>
    </row>
    <row r="1824" spans="2:52" x14ac:dyDescent="0.35">
      <c r="B1824" s="7"/>
      <c r="C1824" s="8"/>
      <c r="D1824" s="8"/>
      <c r="E1824" s="8"/>
      <c r="F1824" s="8"/>
      <c r="G1824" s="8"/>
      <c r="H1824" s="8"/>
      <c r="I1824" s="8"/>
      <c r="J1824" s="8"/>
      <c r="K1824" s="8"/>
      <c r="L1824" s="8"/>
      <c r="M1824" s="8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  <c r="AD1824" s="8"/>
      <c r="AE1824" s="8"/>
      <c r="AF1824" s="8"/>
      <c r="AG1824" s="8"/>
      <c r="AH1824" s="8"/>
      <c r="AI1824" s="8"/>
      <c r="AJ1824" s="8"/>
      <c r="AK1824" s="8"/>
      <c r="AL1824" s="8"/>
      <c r="AM1824" s="8"/>
      <c r="AN1824" s="8"/>
      <c r="AO1824" s="8"/>
      <c r="AP1824" s="8"/>
      <c r="AQ1824" s="8"/>
      <c r="AR1824" s="8"/>
      <c r="AS1824" s="8"/>
      <c r="AT1824" s="8"/>
      <c r="AU1824" s="8"/>
      <c r="AV1824" s="8"/>
      <c r="AW1824" s="8"/>
      <c r="AX1824" s="8"/>
      <c r="AY1824" s="8"/>
      <c r="AZ1824" s="10"/>
    </row>
    <row r="1825" spans="2:52" x14ac:dyDescent="0.35">
      <c r="B1825" s="7"/>
      <c r="C1825" s="8"/>
      <c r="D1825" s="8"/>
      <c r="E1825" s="8"/>
      <c r="F1825" s="8"/>
      <c r="G1825" s="8"/>
      <c r="H1825" s="8"/>
      <c r="I1825" s="8"/>
      <c r="J1825" s="8"/>
      <c r="K1825" s="8"/>
      <c r="L1825" s="8"/>
      <c r="M1825" s="8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  <c r="AG1825" s="8"/>
      <c r="AH1825" s="8"/>
      <c r="AI1825" s="8"/>
      <c r="AJ1825" s="8"/>
      <c r="AK1825" s="8"/>
      <c r="AL1825" s="8"/>
      <c r="AM1825" s="8"/>
      <c r="AN1825" s="8"/>
      <c r="AO1825" s="8"/>
      <c r="AP1825" s="8"/>
      <c r="AQ1825" s="8"/>
      <c r="AR1825" s="8"/>
      <c r="AS1825" s="8"/>
      <c r="AT1825" s="8"/>
      <c r="AU1825" s="8"/>
      <c r="AV1825" s="8"/>
      <c r="AW1825" s="8"/>
      <c r="AX1825" s="8"/>
      <c r="AY1825" s="8"/>
      <c r="AZ1825" s="10"/>
    </row>
    <row r="1826" spans="2:52" x14ac:dyDescent="0.35">
      <c r="B1826" s="7"/>
      <c r="C1826" s="8"/>
      <c r="D1826" s="8"/>
      <c r="E1826" s="8"/>
      <c r="F1826" s="8"/>
      <c r="G1826" s="8"/>
      <c r="H1826" s="8"/>
      <c r="I1826" s="8"/>
      <c r="J1826" s="8"/>
      <c r="K1826" s="8"/>
      <c r="L1826" s="8"/>
      <c r="M1826" s="8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  <c r="AG1826" s="8"/>
      <c r="AH1826" s="8"/>
      <c r="AI1826" s="8"/>
      <c r="AJ1826" s="8"/>
      <c r="AK1826" s="8"/>
      <c r="AL1826" s="8"/>
      <c r="AM1826" s="8"/>
      <c r="AN1826" s="8"/>
      <c r="AO1826" s="8"/>
      <c r="AP1826" s="8"/>
      <c r="AQ1826" s="8"/>
      <c r="AR1826" s="8"/>
      <c r="AS1826" s="8"/>
      <c r="AT1826" s="8"/>
      <c r="AU1826" s="8"/>
      <c r="AV1826" s="8"/>
      <c r="AW1826" s="8"/>
      <c r="AX1826" s="8"/>
      <c r="AY1826" s="8"/>
      <c r="AZ1826" s="10"/>
    </row>
    <row r="1827" spans="2:52" x14ac:dyDescent="0.35">
      <c r="B1827" s="7"/>
      <c r="C1827" s="8"/>
      <c r="D1827" s="8"/>
      <c r="E1827" s="8"/>
      <c r="F1827" s="8"/>
      <c r="G1827" s="8"/>
      <c r="H1827" s="8"/>
      <c r="I1827" s="8"/>
      <c r="J1827" s="8"/>
      <c r="K1827" s="8"/>
      <c r="L1827" s="8"/>
      <c r="M1827" s="8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  <c r="AG1827" s="8"/>
      <c r="AH1827" s="8"/>
      <c r="AI1827" s="8"/>
      <c r="AJ1827" s="8"/>
      <c r="AK1827" s="8"/>
      <c r="AL1827" s="8"/>
      <c r="AM1827" s="8"/>
      <c r="AN1827" s="8"/>
      <c r="AO1827" s="8"/>
      <c r="AP1827" s="8"/>
      <c r="AQ1827" s="8"/>
      <c r="AR1827" s="8"/>
      <c r="AS1827" s="8"/>
      <c r="AT1827" s="8"/>
      <c r="AU1827" s="8"/>
      <c r="AV1827" s="8"/>
      <c r="AW1827" s="8"/>
      <c r="AX1827" s="8"/>
      <c r="AY1827" s="8"/>
      <c r="AZ1827" s="10"/>
    </row>
    <row r="1828" spans="2:52" x14ac:dyDescent="0.35">
      <c r="B1828" s="7"/>
      <c r="C1828" s="8"/>
      <c r="D1828" s="8"/>
      <c r="E1828" s="8"/>
      <c r="F1828" s="8"/>
      <c r="G1828" s="8"/>
      <c r="H1828" s="8"/>
      <c r="I1828" s="8"/>
      <c r="J1828" s="8"/>
      <c r="K1828" s="8"/>
      <c r="L1828" s="8"/>
      <c r="M1828" s="8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  <c r="AG1828" s="8"/>
      <c r="AH1828" s="8"/>
      <c r="AI1828" s="8"/>
      <c r="AJ1828" s="8"/>
      <c r="AK1828" s="8"/>
      <c r="AL1828" s="8"/>
      <c r="AM1828" s="8"/>
      <c r="AN1828" s="8"/>
      <c r="AO1828" s="8"/>
      <c r="AP1828" s="8"/>
      <c r="AQ1828" s="8"/>
      <c r="AR1828" s="8"/>
      <c r="AS1828" s="8"/>
      <c r="AT1828" s="8"/>
      <c r="AU1828" s="8"/>
      <c r="AV1828" s="8"/>
      <c r="AW1828" s="8"/>
      <c r="AX1828" s="8"/>
      <c r="AY1828" s="8"/>
      <c r="AZ1828" s="10"/>
    </row>
    <row r="1829" spans="2:52" x14ac:dyDescent="0.35">
      <c r="B1829" s="7"/>
      <c r="C1829" s="8"/>
      <c r="D1829" s="8"/>
      <c r="E1829" s="8"/>
      <c r="F1829" s="8"/>
      <c r="G1829" s="8"/>
      <c r="H1829" s="8"/>
      <c r="I1829" s="8"/>
      <c r="J1829" s="8"/>
      <c r="K1829" s="8"/>
      <c r="L1829" s="8"/>
      <c r="M1829" s="8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  <c r="AG1829" s="8"/>
      <c r="AH1829" s="8"/>
      <c r="AI1829" s="8"/>
      <c r="AJ1829" s="8"/>
      <c r="AK1829" s="8"/>
      <c r="AL1829" s="8"/>
      <c r="AM1829" s="8"/>
      <c r="AN1829" s="8"/>
      <c r="AO1829" s="8"/>
      <c r="AP1829" s="8"/>
      <c r="AQ1829" s="8"/>
      <c r="AR1829" s="8"/>
      <c r="AS1829" s="8"/>
      <c r="AT1829" s="8"/>
      <c r="AU1829" s="8"/>
      <c r="AV1829" s="8"/>
      <c r="AW1829" s="8"/>
      <c r="AX1829" s="8"/>
      <c r="AY1829" s="8"/>
      <c r="AZ1829" s="10"/>
    </row>
    <row r="1830" spans="2:52" x14ac:dyDescent="0.35">
      <c r="B1830" s="7"/>
      <c r="C1830" s="8"/>
      <c r="D1830" s="8"/>
      <c r="E1830" s="8"/>
      <c r="F1830" s="8"/>
      <c r="G1830" s="8"/>
      <c r="H1830" s="8"/>
      <c r="I1830" s="8"/>
      <c r="J1830" s="8"/>
      <c r="K1830" s="8"/>
      <c r="L1830" s="8"/>
      <c r="M1830" s="8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  <c r="AD1830" s="8"/>
      <c r="AE1830" s="8"/>
      <c r="AF1830" s="8"/>
      <c r="AG1830" s="8"/>
      <c r="AH1830" s="8"/>
      <c r="AI1830" s="8"/>
      <c r="AJ1830" s="8"/>
      <c r="AK1830" s="8"/>
      <c r="AL1830" s="8"/>
      <c r="AM1830" s="8"/>
      <c r="AN1830" s="8"/>
      <c r="AO1830" s="8"/>
      <c r="AP1830" s="8"/>
      <c r="AQ1830" s="8"/>
      <c r="AR1830" s="8"/>
      <c r="AS1830" s="8"/>
      <c r="AT1830" s="8"/>
      <c r="AU1830" s="8"/>
      <c r="AV1830" s="8"/>
      <c r="AW1830" s="8"/>
      <c r="AX1830" s="8"/>
      <c r="AY1830" s="8"/>
      <c r="AZ1830" s="10"/>
    </row>
    <row r="1831" spans="2:52" x14ac:dyDescent="0.35">
      <c r="B1831" s="7"/>
      <c r="C1831" s="8"/>
      <c r="D1831" s="8"/>
      <c r="E1831" s="8"/>
      <c r="F1831" s="8"/>
      <c r="G1831" s="8"/>
      <c r="H1831" s="8"/>
      <c r="I1831" s="8"/>
      <c r="J1831" s="8"/>
      <c r="K1831" s="8"/>
      <c r="L1831" s="8"/>
      <c r="M1831" s="8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  <c r="AD1831" s="8"/>
      <c r="AE1831" s="8"/>
      <c r="AF1831" s="8"/>
      <c r="AG1831" s="8"/>
      <c r="AH1831" s="8"/>
      <c r="AI1831" s="8"/>
      <c r="AJ1831" s="8"/>
      <c r="AK1831" s="8"/>
      <c r="AL1831" s="8"/>
      <c r="AM1831" s="8"/>
      <c r="AN1831" s="8"/>
      <c r="AO1831" s="8"/>
      <c r="AP1831" s="8"/>
      <c r="AQ1831" s="8"/>
      <c r="AR1831" s="8"/>
      <c r="AS1831" s="8"/>
      <c r="AT1831" s="8"/>
      <c r="AU1831" s="8"/>
      <c r="AV1831" s="8"/>
      <c r="AW1831" s="8"/>
      <c r="AX1831" s="8"/>
      <c r="AY1831" s="8"/>
      <c r="AZ1831" s="10"/>
    </row>
    <row r="1832" spans="2:52" x14ac:dyDescent="0.35">
      <c r="B1832" s="7"/>
      <c r="C1832" s="8"/>
      <c r="D1832" s="8"/>
      <c r="E1832" s="8"/>
      <c r="F1832" s="8"/>
      <c r="G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  <c r="AD1832" s="8"/>
      <c r="AE1832" s="8"/>
      <c r="AF1832" s="8"/>
      <c r="AG1832" s="8"/>
      <c r="AH1832" s="8"/>
      <c r="AI1832" s="8"/>
      <c r="AJ1832" s="8"/>
      <c r="AK1832" s="8"/>
      <c r="AL1832" s="8"/>
      <c r="AM1832" s="8"/>
      <c r="AN1832" s="8"/>
      <c r="AO1832" s="8"/>
      <c r="AP1832" s="8"/>
      <c r="AQ1832" s="8"/>
      <c r="AR1832" s="8"/>
      <c r="AS1832" s="8"/>
      <c r="AT1832" s="8"/>
      <c r="AU1832" s="8"/>
      <c r="AV1832" s="8"/>
      <c r="AW1832" s="8"/>
      <c r="AX1832" s="8"/>
      <c r="AY1832" s="8"/>
      <c r="AZ1832" s="10"/>
    </row>
    <row r="1833" spans="2:52" x14ac:dyDescent="0.35">
      <c r="B1833" s="7"/>
      <c r="C1833" s="8"/>
      <c r="D1833" s="8"/>
      <c r="E1833" s="8"/>
      <c r="F1833" s="8"/>
      <c r="G1833" s="8"/>
      <c r="H1833" s="8"/>
      <c r="I1833" s="8"/>
      <c r="J1833" s="8"/>
      <c r="K1833" s="8"/>
      <c r="L1833" s="8"/>
      <c r="M1833" s="8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  <c r="AD1833" s="8"/>
      <c r="AE1833" s="8"/>
      <c r="AF1833" s="8"/>
      <c r="AG1833" s="8"/>
      <c r="AH1833" s="8"/>
      <c r="AI1833" s="8"/>
      <c r="AJ1833" s="8"/>
      <c r="AK1833" s="8"/>
      <c r="AL1833" s="8"/>
      <c r="AM1833" s="8"/>
      <c r="AN1833" s="8"/>
      <c r="AO1833" s="8"/>
      <c r="AP1833" s="8"/>
      <c r="AQ1833" s="8"/>
      <c r="AR1833" s="8"/>
      <c r="AS1833" s="8"/>
      <c r="AT1833" s="8"/>
      <c r="AU1833" s="8"/>
      <c r="AV1833" s="8"/>
      <c r="AW1833" s="8"/>
      <c r="AX1833" s="8"/>
      <c r="AY1833" s="8"/>
      <c r="AZ1833" s="10"/>
    </row>
    <row r="1834" spans="2:52" x14ac:dyDescent="0.35">
      <c r="B1834" s="7"/>
      <c r="C1834" s="8"/>
      <c r="D1834" s="8"/>
      <c r="E1834" s="8"/>
      <c r="F1834" s="8"/>
      <c r="G1834" s="8"/>
      <c r="H1834" s="8"/>
      <c r="I1834" s="8"/>
      <c r="J1834" s="8"/>
      <c r="K1834" s="8"/>
      <c r="L1834" s="8"/>
      <c r="M1834" s="8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  <c r="AD1834" s="8"/>
      <c r="AE1834" s="8"/>
      <c r="AF1834" s="8"/>
      <c r="AG1834" s="8"/>
      <c r="AH1834" s="8"/>
      <c r="AI1834" s="8"/>
      <c r="AJ1834" s="8"/>
      <c r="AK1834" s="8"/>
      <c r="AL1834" s="8"/>
      <c r="AM1834" s="8"/>
      <c r="AN1834" s="8"/>
      <c r="AO1834" s="8"/>
      <c r="AP1834" s="8"/>
      <c r="AQ1834" s="8"/>
      <c r="AR1834" s="8"/>
      <c r="AS1834" s="8"/>
      <c r="AT1834" s="8"/>
      <c r="AU1834" s="8"/>
      <c r="AV1834" s="8"/>
      <c r="AW1834" s="8"/>
      <c r="AX1834" s="8"/>
      <c r="AY1834" s="8"/>
      <c r="AZ1834" s="10"/>
    </row>
    <row r="1835" spans="2:52" x14ac:dyDescent="0.35">
      <c r="B1835" s="7"/>
      <c r="C1835" s="8"/>
      <c r="D1835" s="8"/>
      <c r="E1835" s="8"/>
      <c r="F1835" s="8"/>
      <c r="G1835" s="8"/>
      <c r="H1835" s="8"/>
      <c r="I1835" s="8"/>
      <c r="J1835" s="8"/>
      <c r="K1835" s="8"/>
      <c r="L1835" s="8"/>
      <c r="M1835" s="8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  <c r="AD1835" s="8"/>
      <c r="AE1835" s="8"/>
      <c r="AF1835" s="8"/>
      <c r="AG1835" s="8"/>
      <c r="AH1835" s="8"/>
      <c r="AI1835" s="8"/>
      <c r="AJ1835" s="8"/>
      <c r="AK1835" s="8"/>
      <c r="AL1835" s="8"/>
      <c r="AM1835" s="8"/>
      <c r="AN1835" s="8"/>
      <c r="AO1835" s="8"/>
      <c r="AP1835" s="8"/>
      <c r="AQ1835" s="8"/>
      <c r="AR1835" s="8"/>
      <c r="AS1835" s="8"/>
      <c r="AT1835" s="8"/>
      <c r="AU1835" s="8"/>
      <c r="AV1835" s="8"/>
      <c r="AW1835" s="8"/>
      <c r="AX1835" s="8"/>
      <c r="AY1835" s="8"/>
      <c r="AZ1835" s="10"/>
    </row>
    <row r="1836" spans="2:52" x14ac:dyDescent="0.35">
      <c r="B1836" s="7"/>
      <c r="C1836" s="8"/>
      <c r="D1836" s="8"/>
      <c r="E1836" s="8"/>
      <c r="F1836" s="8"/>
      <c r="G1836" s="8"/>
      <c r="H1836" s="8"/>
      <c r="I1836" s="8"/>
      <c r="J1836" s="8"/>
      <c r="K1836" s="8"/>
      <c r="L1836" s="8"/>
      <c r="M1836" s="8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  <c r="AD1836" s="8"/>
      <c r="AE1836" s="8"/>
      <c r="AF1836" s="8"/>
      <c r="AG1836" s="8"/>
      <c r="AH1836" s="8"/>
      <c r="AI1836" s="8"/>
      <c r="AJ1836" s="8"/>
      <c r="AK1836" s="8"/>
      <c r="AL1836" s="8"/>
      <c r="AM1836" s="8"/>
      <c r="AN1836" s="8"/>
      <c r="AO1836" s="8"/>
      <c r="AP1836" s="8"/>
      <c r="AQ1836" s="8"/>
      <c r="AR1836" s="8"/>
      <c r="AS1836" s="8"/>
      <c r="AT1836" s="8"/>
      <c r="AU1836" s="8"/>
      <c r="AV1836" s="8"/>
      <c r="AW1836" s="8"/>
      <c r="AX1836" s="8"/>
      <c r="AY1836" s="8"/>
      <c r="AZ1836" s="10"/>
    </row>
    <row r="1837" spans="2:52" x14ac:dyDescent="0.35">
      <c r="B1837" s="7"/>
      <c r="C1837" s="8"/>
      <c r="D1837" s="8"/>
      <c r="E1837" s="8"/>
      <c r="F1837" s="8"/>
      <c r="G1837" s="8"/>
      <c r="H1837" s="8"/>
      <c r="I1837" s="8"/>
      <c r="J1837" s="8"/>
      <c r="K1837" s="8"/>
      <c r="L1837" s="8"/>
      <c r="M1837" s="8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  <c r="AD1837" s="8"/>
      <c r="AE1837" s="8"/>
      <c r="AF1837" s="8"/>
      <c r="AG1837" s="8"/>
      <c r="AH1837" s="8"/>
      <c r="AI1837" s="8"/>
      <c r="AJ1837" s="8"/>
      <c r="AK1837" s="8"/>
      <c r="AL1837" s="8"/>
      <c r="AM1837" s="8"/>
      <c r="AN1837" s="8"/>
      <c r="AO1837" s="8"/>
      <c r="AP1837" s="8"/>
      <c r="AQ1837" s="8"/>
      <c r="AR1837" s="8"/>
      <c r="AS1837" s="8"/>
      <c r="AT1837" s="8"/>
      <c r="AU1837" s="8"/>
      <c r="AV1837" s="8"/>
      <c r="AW1837" s="8"/>
      <c r="AX1837" s="8"/>
      <c r="AY1837" s="8"/>
      <c r="AZ1837" s="10"/>
    </row>
    <row r="1838" spans="2:52" x14ac:dyDescent="0.35">
      <c r="B1838" s="7"/>
      <c r="C1838" s="8"/>
      <c r="D1838" s="8"/>
      <c r="E1838" s="8"/>
      <c r="F1838" s="8"/>
      <c r="G1838" s="8"/>
      <c r="H1838" s="8"/>
      <c r="I1838" s="8"/>
      <c r="J1838" s="8"/>
      <c r="K1838" s="8"/>
      <c r="L1838" s="8"/>
      <c r="M1838" s="8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8"/>
      <c r="AE1838" s="8"/>
      <c r="AF1838" s="8"/>
      <c r="AG1838" s="8"/>
      <c r="AH1838" s="8"/>
      <c r="AI1838" s="8"/>
      <c r="AJ1838" s="8"/>
      <c r="AK1838" s="8"/>
      <c r="AL1838" s="8"/>
      <c r="AM1838" s="8"/>
      <c r="AN1838" s="8"/>
      <c r="AO1838" s="8"/>
      <c r="AP1838" s="8"/>
      <c r="AQ1838" s="8"/>
      <c r="AR1838" s="8"/>
      <c r="AS1838" s="8"/>
      <c r="AT1838" s="8"/>
      <c r="AU1838" s="8"/>
      <c r="AV1838" s="8"/>
      <c r="AW1838" s="8"/>
      <c r="AX1838" s="8"/>
      <c r="AY1838" s="8"/>
      <c r="AZ1838" s="10"/>
    </row>
    <row r="1839" spans="2:52" x14ac:dyDescent="0.35">
      <c r="B1839" s="7"/>
      <c r="C1839" s="8"/>
      <c r="D1839" s="8"/>
      <c r="E1839" s="8"/>
      <c r="F1839" s="8"/>
      <c r="G1839" s="8"/>
      <c r="H1839" s="8"/>
      <c r="I1839" s="8"/>
      <c r="J1839" s="8"/>
      <c r="K1839" s="8"/>
      <c r="L1839" s="8"/>
      <c r="M1839" s="8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8"/>
      <c r="AE1839" s="8"/>
      <c r="AF1839" s="8"/>
      <c r="AG1839" s="8"/>
      <c r="AH1839" s="8"/>
      <c r="AI1839" s="8"/>
      <c r="AJ1839" s="8"/>
      <c r="AK1839" s="8"/>
      <c r="AL1839" s="8"/>
      <c r="AM1839" s="8"/>
      <c r="AN1839" s="8"/>
      <c r="AO1839" s="8"/>
      <c r="AP1839" s="8"/>
      <c r="AQ1839" s="8"/>
      <c r="AR1839" s="8"/>
      <c r="AS1839" s="8"/>
      <c r="AT1839" s="8"/>
      <c r="AU1839" s="8"/>
      <c r="AV1839" s="8"/>
      <c r="AW1839" s="8"/>
      <c r="AX1839" s="8"/>
      <c r="AY1839" s="8"/>
      <c r="AZ1839" s="10"/>
    </row>
    <row r="1840" spans="2:52" x14ac:dyDescent="0.35">
      <c r="B1840" s="7"/>
      <c r="C1840" s="8"/>
      <c r="D1840" s="8"/>
      <c r="E1840" s="8"/>
      <c r="F1840" s="8"/>
      <c r="G1840" s="8"/>
      <c r="H1840" s="8"/>
      <c r="I1840" s="8"/>
      <c r="J1840" s="8"/>
      <c r="K1840" s="8"/>
      <c r="L1840" s="8"/>
      <c r="M1840" s="8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8"/>
      <c r="AE1840" s="8"/>
      <c r="AF1840" s="8"/>
      <c r="AG1840" s="8"/>
      <c r="AH1840" s="8"/>
      <c r="AI1840" s="8"/>
      <c r="AJ1840" s="8"/>
      <c r="AK1840" s="8"/>
      <c r="AL1840" s="8"/>
      <c r="AM1840" s="8"/>
      <c r="AN1840" s="8"/>
      <c r="AO1840" s="8"/>
      <c r="AP1840" s="8"/>
      <c r="AQ1840" s="8"/>
      <c r="AR1840" s="8"/>
      <c r="AS1840" s="8"/>
      <c r="AT1840" s="8"/>
      <c r="AU1840" s="8"/>
      <c r="AV1840" s="8"/>
      <c r="AW1840" s="8"/>
      <c r="AX1840" s="8"/>
      <c r="AY1840" s="8"/>
      <c r="AZ1840" s="10"/>
    </row>
    <row r="1841" spans="2:52" x14ac:dyDescent="0.35">
      <c r="B1841" s="7"/>
      <c r="C1841" s="8"/>
      <c r="D1841" s="8"/>
      <c r="E1841" s="8"/>
      <c r="F1841" s="8"/>
      <c r="G1841" s="8"/>
      <c r="H1841" s="8"/>
      <c r="I1841" s="8"/>
      <c r="J1841" s="8"/>
      <c r="K1841" s="8"/>
      <c r="L1841" s="8"/>
      <c r="M1841" s="8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  <c r="AD1841" s="8"/>
      <c r="AE1841" s="8"/>
      <c r="AF1841" s="8"/>
      <c r="AG1841" s="8"/>
      <c r="AH1841" s="8"/>
      <c r="AI1841" s="8"/>
      <c r="AJ1841" s="8"/>
      <c r="AK1841" s="8"/>
      <c r="AL1841" s="8"/>
      <c r="AM1841" s="8"/>
      <c r="AN1841" s="8"/>
      <c r="AO1841" s="8"/>
      <c r="AP1841" s="8"/>
      <c r="AQ1841" s="8"/>
      <c r="AR1841" s="8"/>
      <c r="AS1841" s="8"/>
      <c r="AT1841" s="8"/>
      <c r="AU1841" s="8"/>
      <c r="AV1841" s="8"/>
      <c r="AW1841" s="8"/>
      <c r="AX1841" s="8"/>
      <c r="AY1841" s="8"/>
      <c r="AZ1841" s="10"/>
    </row>
    <row r="1842" spans="2:52" x14ac:dyDescent="0.35">
      <c r="B1842" s="7"/>
      <c r="C1842" s="8"/>
      <c r="D1842" s="8"/>
      <c r="E1842" s="8"/>
      <c r="F1842" s="8"/>
      <c r="G1842" s="8"/>
      <c r="H1842" s="8"/>
      <c r="I1842" s="8"/>
      <c r="J1842" s="8"/>
      <c r="K1842" s="8"/>
      <c r="L1842" s="8"/>
      <c r="M1842" s="8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  <c r="AD1842" s="8"/>
      <c r="AE1842" s="8"/>
      <c r="AF1842" s="8"/>
      <c r="AG1842" s="8"/>
      <c r="AH1842" s="8"/>
      <c r="AI1842" s="8"/>
      <c r="AJ1842" s="8"/>
      <c r="AK1842" s="8"/>
      <c r="AL1842" s="8"/>
      <c r="AM1842" s="8"/>
      <c r="AN1842" s="8"/>
      <c r="AO1842" s="8"/>
      <c r="AP1842" s="8"/>
      <c r="AQ1842" s="8"/>
      <c r="AR1842" s="8"/>
      <c r="AS1842" s="8"/>
      <c r="AT1842" s="8"/>
      <c r="AU1842" s="8"/>
      <c r="AV1842" s="8"/>
      <c r="AW1842" s="8"/>
      <c r="AX1842" s="8"/>
      <c r="AY1842" s="8"/>
      <c r="AZ1842" s="10"/>
    </row>
    <row r="1843" spans="2:52" x14ac:dyDescent="0.35">
      <c r="B1843" s="7"/>
      <c r="C1843" s="8"/>
      <c r="D1843" s="8"/>
      <c r="E1843" s="8"/>
      <c r="F1843" s="8"/>
      <c r="G1843" s="8"/>
      <c r="H1843" s="8"/>
      <c r="I1843" s="8"/>
      <c r="J1843" s="8"/>
      <c r="K1843" s="8"/>
      <c r="L1843" s="8"/>
      <c r="M1843" s="8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  <c r="AD1843" s="8"/>
      <c r="AE1843" s="8"/>
      <c r="AF1843" s="8"/>
      <c r="AG1843" s="8"/>
      <c r="AH1843" s="8"/>
      <c r="AI1843" s="8"/>
      <c r="AJ1843" s="8"/>
      <c r="AK1843" s="8"/>
      <c r="AL1843" s="8"/>
      <c r="AM1843" s="8"/>
      <c r="AN1843" s="8"/>
      <c r="AO1843" s="8"/>
      <c r="AP1843" s="8"/>
      <c r="AQ1843" s="8"/>
      <c r="AR1843" s="8"/>
      <c r="AS1843" s="8"/>
      <c r="AT1843" s="8"/>
      <c r="AU1843" s="8"/>
      <c r="AV1843" s="8"/>
      <c r="AW1843" s="8"/>
      <c r="AX1843" s="8"/>
      <c r="AY1843" s="8"/>
      <c r="AZ1843" s="10"/>
    </row>
    <row r="1844" spans="2:52" x14ac:dyDescent="0.35">
      <c r="B1844" s="7"/>
      <c r="C1844" s="8"/>
      <c r="D1844" s="8"/>
      <c r="E1844" s="8"/>
      <c r="F1844" s="8"/>
      <c r="G1844" s="8"/>
      <c r="H1844" s="8"/>
      <c r="I1844" s="8"/>
      <c r="J1844" s="8"/>
      <c r="K1844" s="8"/>
      <c r="L1844" s="8"/>
      <c r="M1844" s="8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8"/>
      <c r="AE1844" s="8"/>
      <c r="AF1844" s="8"/>
      <c r="AG1844" s="8"/>
      <c r="AH1844" s="8"/>
      <c r="AI1844" s="8"/>
      <c r="AJ1844" s="8"/>
      <c r="AK1844" s="8"/>
      <c r="AL1844" s="8"/>
      <c r="AM1844" s="8"/>
      <c r="AN1844" s="8"/>
      <c r="AO1844" s="8"/>
      <c r="AP1844" s="8"/>
      <c r="AQ1844" s="8"/>
      <c r="AR1844" s="8"/>
      <c r="AS1844" s="8"/>
      <c r="AT1844" s="8"/>
      <c r="AU1844" s="8"/>
      <c r="AV1844" s="8"/>
      <c r="AW1844" s="8"/>
      <c r="AX1844" s="8"/>
      <c r="AY1844" s="8"/>
      <c r="AZ1844" s="10"/>
    </row>
    <row r="1845" spans="2:52" x14ac:dyDescent="0.35">
      <c r="B1845" s="7"/>
      <c r="C1845" s="8"/>
      <c r="D1845" s="8"/>
      <c r="E1845" s="8"/>
      <c r="F1845" s="8"/>
      <c r="G1845" s="8"/>
      <c r="H1845" s="8"/>
      <c r="I1845" s="8"/>
      <c r="J1845" s="8"/>
      <c r="K1845" s="8"/>
      <c r="L1845" s="8"/>
      <c r="M1845" s="8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8"/>
      <c r="AE1845" s="8"/>
      <c r="AF1845" s="8"/>
      <c r="AG1845" s="8"/>
      <c r="AH1845" s="8"/>
      <c r="AI1845" s="8"/>
      <c r="AJ1845" s="8"/>
      <c r="AK1845" s="8"/>
      <c r="AL1845" s="8"/>
      <c r="AM1845" s="8"/>
      <c r="AN1845" s="8"/>
      <c r="AO1845" s="8"/>
      <c r="AP1845" s="8"/>
      <c r="AQ1845" s="8"/>
      <c r="AR1845" s="8"/>
      <c r="AS1845" s="8"/>
      <c r="AT1845" s="8"/>
      <c r="AU1845" s="8"/>
      <c r="AV1845" s="8"/>
      <c r="AW1845" s="8"/>
      <c r="AX1845" s="8"/>
      <c r="AY1845" s="8"/>
      <c r="AZ1845" s="10"/>
    </row>
    <row r="1846" spans="2:52" x14ac:dyDescent="0.35">
      <c r="B1846" s="7"/>
      <c r="C1846" s="8"/>
      <c r="D1846" s="8"/>
      <c r="E1846" s="8"/>
      <c r="F1846" s="8"/>
      <c r="G1846" s="8"/>
      <c r="H1846" s="8"/>
      <c r="I1846" s="8"/>
      <c r="J1846" s="8"/>
      <c r="K1846" s="8"/>
      <c r="L1846" s="8"/>
      <c r="M1846" s="8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  <c r="AD1846" s="8"/>
      <c r="AE1846" s="8"/>
      <c r="AF1846" s="8"/>
      <c r="AG1846" s="8"/>
      <c r="AH1846" s="8"/>
      <c r="AI1846" s="8"/>
      <c r="AJ1846" s="8"/>
      <c r="AK1846" s="8"/>
      <c r="AL1846" s="8"/>
      <c r="AM1846" s="8"/>
      <c r="AN1846" s="8"/>
      <c r="AO1846" s="8"/>
      <c r="AP1846" s="8"/>
      <c r="AQ1846" s="8"/>
      <c r="AR1846" s="8"/>
      <c r="AS1846" s="8"/>
      <c r="AT1846" s="8"/>
      <c r="AU1846" s="8"/>
      <c r="AV1846" s="8"/>
      <c r="AW1846" s="8"/>
      <c r="AX1846" s="8"/>
      <c r="AY1846" s="8"/>
      <c r="AZ1846" s="10"/>
    </row>
    <row r="1847" spans="2:52" x14ac:dyDescent="0.35">
      <c r="B1847" s="7"/>
      <c r="C1847" s="8"/>
      <c r="D1847" s="8"/>
      <c r="E1847" s="8"/>
      <c r="F1847" s="8"/>
      <c r="G1847" s="8"/>
      <c r="H1847" s="8"/>
      <c r="I1847" s="8"/>
      <c r="J1847" s="8"/>
      <c r="K1847" s="8"/>
      <c r="L1847" s="8"/>
      <c r="M1847" s="8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  <c r="AD1847" s="8"/>
      <c r="AE1847" s="8"/>
      <c r="AF1847" s="8"/>
      <c r="AG1847" s="8"/>
      <c r="AH1847" s="8"/>
      <c r="AI1847" s="8"/>
      <c r="AJ1847" s="8"/>
      <c r="AK1847" s="8"/>
      <c r="AL1847" s="8"/>
      <c r="AM1847" s="8"/>
      <c r="AN1847" s="8"/>
      <c r="AO1847" s="8"/>
      <c r="AP1847" s="8"/>
      <c r="AQ1847" s="8"/>
      <c r="AR1847" s="8"/>
      <c r="AS1847" s="8"/>
      <c r="AT1847" s="8"/>
      <c r="AU1847" s="8"/>
      <c r="AV1847" s="8"/>
      <c r="AW1847" s="8"/>
      <c r="AX1847" s="8"/>
      <c r="AY1847" s="8"/>
      <c r="AZ1847" s="10"/>
    </row>
    <row r="1848" spans="2:52" x14ac:dyDescent="0.35">
      <c r="B1848" s="7"/>
      <c r="C1848" s="8"/>
      <c r="D1848" s="8"/>
      <c r="E1848" s="8"/>
      <c r="F1848" s="8"/>
      <c r="G1848" s="8"/>
      <c r="H1848" s="8"/>
      <c r="I1848" s="8"/>
      <c r="J1848" s="8"/>
      <c r="K1848" s="8"/>
      <c r="L1848" s="8"/>
      <c r="M1848" s="8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  <c r="AD1848" s="8"/>
      <c r="AE1848" s="8"/>
      <c r="AF1848" s="8"/>
      <c r="AG1848" s="8"/>
      <c r="AH1848" s="8"/>
      <c r="AI1848" s="8"/>
      <c r="AJ1848" s="8"/>
      <c r="AK1848" s="8"/>
      <c r="AL1848" s="8"/>
      <c r="AM1848" s="8"/>
      <c r="AN1848" s="8"/>
      <c r="AO1848" s="8"/>
      <c r="AP1848" s="8"/>
      <c r="AQ1848" s="8"/>
      <c r="AR1848" s="8"/>
      <c r="AS1848" s="8"/>
      <c r="AT1848" s="8"/>
      <c r="AU1848" s="8"/>
      <c r="AV1848" s="8"/>
      <c r="AW1848" s="8"/>
      <c r="AX1848" s="8"/>
      <c r="AY1848" s="8"/>
      <c r="AZ1848" s="10"/>
    </row>
    <row r="1849" spans="2:52" x14ac:dyDescent="0.35">
      <c r="B1849" s="7"/>
      <c r="C1849" s="8"/>
      <c r="D1849" s="8"/>
      <c r="E1849" s="8"/>
      <c r="F1849" s="8"/>
      <c r="G1849" s="8"/>
      <c r="H1849" s="8"/>
      <c r="I1849" s="8"/>
      <c r="J1849" s="8"/>
      <c r="K1849" s="8"/>
      <c r="L1849" s="8"/>
      <c r="M1849" s="8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  <c r="AD1849" s="8"/>
      <c r="AE1849" s="8"/>
      <c r="AF1849" s="8"/>
      <c r="AG1849" s="8"/>
      <c r="AH1849" s="8"/>
      <c r="AI1849" s="8"/>
      <c r="AJ1849" s="8"/>
      <c r="AK1849" s="8"/>
      <c r="AL1849" s="8"/>
      <c r="AM1849" s="8"/>
      <c r="AN1849" s="8"/>
      <c r="AO1849" s="8"/>
      <c r="AP1849" s="8"/>
      <c r="AQ1849" s="8"/>
      <c r="AR1849" s="8"/>
      <c r="AS1849" s="8"/>
      <c r="AT1849" s="8"/>
      <c r="AU1849" s="8"/>
      <c r="AV1849" s="8"/>
      <c r="AW1849" s="8"/>
      <c r="AX1849" s="8"/>
      <c r="AY1849" s="8"/>
      <c r="AZ1849" s="10"/>
    </row>
    <row r="1850" spans="2:52" x14ac:dyDescent="0.35">
      <c r="B1850" s="7"/>
      <c r="C1850" s="8"/>
      <c r="D1850" s="8"/>
      <c r="E1850" s="8"/>
      <c r="F1850" s="8"/>
      <c r="G1850" s="8"/>
      <c r="H1850" s="8"/>
      <c r="I1850" s="8"/>
      <c r="J1850" s="8"/>
      <c r="K1850" s="8"/>
      <c r="L1850" s="8"/>
      <c r="M1850" s="8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  <c r="AD1850" s="8"/>
      <c r="AE1850" s="8"/>
      <c r="AF1850" s="8"/>
      <c r="AG1850" s="8"/>
      <c r="AH1850" s="8"/>
      <c r="AI1850" s="8"/>
      <c r="AJ1850" s="8"/>
      <c r="AK1850" s="8"/>
      <c r="AL1850" s="8"/>
      <c r="AM1850" s="8"/>
      <c r="AN1850" s="8"/>
      <c r="AO1850" s="8"/>
      <c r="AP1850" s="8"/>
      <c r="AQ1850" s="8"/>
      <c r="AR1850" s="8"/>
      <c r="AS1850" s="8"/>
      <c r="AT1850" s="8"/>
      <c r="AU1850" s="8"/>
      <c r="AV1850" s="8"/>
      <c r="AW1850" s="8"/>
      <c r="AX1850" s="8"/>
      <c r="AY1850" s="8"/>
      <c r="AZ1850" s="10"/>
    </row>
    <row r="1851" spans="2:52" x14ac:dyDescent="0.35">
      <c r="B1851" s="7"/>
      <c r="C1851" s="8"/>
      <c r="D1851" s="8"/>
      <c r="E1851" s="8"/>
      <c r="F1851" s="8"/>
      <c r="G1851" s="8"/>
      <c r="H1851" s="8"/>
      <c r="I1851" s="8"/>
      <c r="J1851" s="8"/>
      <c r="K1851" s="8"/>
      <c r="L1851" s="8"/>
      <c r="M1851" s="8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  <c r="AD1851" s="8"/>
      <c r="AE1851" s="8"/>
      <c r="AF1851" s="8"/>
      <c r="AG1851" s="8"/>
      <c r="AH1851" s="8"/>
      <c r="AI1851" s="8"/>
      <c r="AJ1851" s="8"/>
      <c r="AK1851" s="8"/>
      <c r="AL1851" s="8"/>
      <c r="AM1851" s="8"/>
      <c r="AN1851" s="8"/>
      <c r="AO1851" s="8"/>
      <c r="AP1851" s="8"/>
      <c r="AQ1851" s="8"/>
      <c r="AR1851" s="8"/>
      <c r="AS1851" s="8"/>
      <c r="AT1851" s="8"/>
      <c r="AU1851" s="8"/>
      <c r="AV1851" s="8"/>
      <c r="AW1851" s="8"/>
      <c r="AX1851" s="8"/>
      <c r="AY1851" s="8"/>
      <c r="AZ1851" s="10"/>
    </row>
    <row r="1852" spans="2:52" x14ac:dyDescent="0.35">
      <c r="B1852" s="7"/>
      <c r="C1852" s="8"/>
      <c r="D1852" s="8"/>
      <c r="E1852" s="8"/>
      <c r="F1852" s="8"/>
      <c r="G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  <c r="AD1852" s="8"/>
      <c r="AE1852" s="8"/>
      <c r="AF1852" s="8"/>
      <c r="AG1852" s="8"/>
      <c r="AH1852" s="8"/>
      <c r="AI1852" s="8"/>
      <c r="AJ1852" s="8"/>
      <c r="AK1852" s="8"/>
      <c r="AL1852" s="8"/>
      <c r="AM1852" s="8"/>
      <c r="AN1852" s="8"/>
      <c r="AO1852" s="8"/>
      <c r="AP1852" s="8"/>
      <c r="AQ1852" s="8"/>
      <c r="AR1852" s="8"/>
      <c r="AS1852" s="8"/>
      <c r="AT1852" s="8"/>
      <c r="AU1852" s="8"/>
      <c r="AV1852" s="8"/>
      <c r="AW1852" s="8"/>
      <c r="AX1852" s="8"/>
      <c r="AY1852" s="8"/>
      <c r="AZ1852" s="10"/>
    </row>
    <row r="1853" spans="2:52" x14ac:dyDescent="0.35">
      <c r="B1853" s="7"/>
      <c r="C1853" s="8"/>
      <c r="D1853" s="8"/>
      <c r="E1853" s="8"/>
      <c r="F1853" s="8"/>
      <c r="G1853" s="8"/>
      <c r="H1853" s="8"/>
      <c r="I1853" s="8"/>
      <c r="J1853" s="8"/>
      <c r="K1853" s="8"/>
      <c r="L1853" s="8"/>
      <c r="M1853" s="8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  <c r="AD1853" s="8"/>
      <c r="AE1853" s="8"/>
      <c r="AF1853" s="8"/>
      <c r="AG1853" s="8"/>
      <c r="AH1853" s="8"/>
      <c r="AI1853" s="8"/>
      <c r="AJ1853" s="8"/>
      <c r="AK1853" s="8"/>
      <c r="AL1853" s="8"/>
      <c r="AM1853" s="8"/>
      <c r="AN1853" s="8"/>
      <c r="AO1853" s="8"/>
      <c r="AP1853" s="8"/>
      <c r="AQ1853" s="8"/>
      <c r="AR1853" s="8"/>
      <c r="AS1853" s="8"/>
      <c r="AT1853" s="8"/>
      <c r="AU1853" s="8"/>
      <c r="AV1853" s="8"/>
      <c r="AW1853" s="8"/>
      <c r="AX1853" s="8"/>
      <c r="AY1853" s="8"/>
      <c r="AZ1853" s="10"/>
    </row>
    <row r="1854" spans="2:52" x14ac:dyDescent="0.35">
      <c r="B1854" s="7"/>
      <c r="C1854" s="8"/>
      <c r="D1854" s="8"/>
      <c r="E1854" s="8"/>
      <c r="F1854" s="8"/>
      <c r="G1854" s="8"/>
      <c r="H1854" s="8"/>
      <c r="I1854" s="8"/>
      <c r="J1854" s="8"/>
      <c r="K1854" s="8"/>
      <c r="L1854" s="8"/>
      <c r="M1854" s="8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  <c r="AD1854" s="8"/>
      <c r="AE1854" s="8"/>
      <c r="AF1854" s="8"/>
      <c r="AG1854" s="8"/>
      <c r="AH1854" s="8"/>
      <c r="AI1854" s="8"/>
      <c r="AJ1854" s="8"/>
      <c r="AK1854" s="8"/>
      <c r="AL1854" s="8"/>
      <c r="AM1854" s="8"/>
      <c r="AN1854" s="8"/>
      <c r="AO1854" s="8"/>
      <c r="AP1854" s="8"/>
      <c r="AQ1854" s="8"/>
      <c r="AR1854" s="8"/>
      <c r="AS1854" s="8"/>
      <c r="AT1854" s="8"/>
      <c r="AU1854" s="8"/>
      <c r="AV1854" s="8"/>
      <c r="AW1854" s="8"/>
      <c r="AX1854" s="8"/>
      <c r="AY1854" s="8"/>
      <c r="AZ1854" s="10"/>
    </row>
    <row r="1855" spans="2:52" x14ac:dyDescent="0.35">
      <c r="B1855" s="7"/>
      <c r="C1855" s="8"/>
      <c r="D1855" s="8"/>
      <c r="E1855" s="8"/>
      <c r="F1855" s="8"/>
      <c r="G1855" s="8"/>
      <c r="H1855" s="8"/>
      <c r="I1855" s="8"/>
      <c r="J1855" s="8"/>
      <c r="K1855" s="8"/>
      <c r="L1855" s="8"/>
      <c r="M1855" s="8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  <c r="AD1855" s="8"/>
      <c r="AE1855" s="8"/>
      <c r="AF1855" s="8"/>
      <c r="AG1855" s="8"/>
      <c r="AH1855" s="8"/>
      <c r="AI1855" s="8"/>
      <c r="AJ1855" s="8"/>
      <c r="AK1855" s="8"/>
      <c r="AL1855" s="8"/>
      <c r="AM1855" s="8"/>
      <c r="AN1855" s="8"/>
      <c r="AO1855" s="8"/>
      <c r="AP1855" s="8"/>
      <c r="AQ1855" s="8"/>
      <c r="AR1855" s="8"/>
      <c r="AS1855" s="8"/>
      <c r="AT1855" s="8"/>
      <c r="AU1855" s="8"/>
      <c r="AV1855" s="8"/>
      <c r="AW1855" s="8"/>
      <c r="AX1855" s="8"/>
      <c r="AY1855" s="8"/>
      <c r="AZ1855" s="10"/>
    </row>
    <row r="1856" spans="2:52" x14ac:dyDescent="0.35">
      <c r="B1856" s="7"/>
      <c r="C1856" s="8"/>
      <c r="D1856" s="8"/>
      <c r="E1856" s="8"/>
      <c r="F1856" s="8"/>
      <c r="G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  <c r="AD1856" s="8"/>
      <c r="AE1856" s="8"/>
      <c r="AF1856" s="8"/>
      <c r="AG1856" s="8"/>
      <c r="AH1856" s="8"/>
      <c r="AI1856" s="8"/>
      <c r="AJ1856" s="8"/>
      <c r="AK1856" s="8"/>
      <c r="AL1856" s="8"/>
      <c r="AM1856" s="8"/>
      <c r="AN1856" s="8"/>
      <c r="AO1856" s="8"/>
      <c r="AP1856" s="8"/>
      <c r="AQ1856" s="8"/>
      <c r="AR1856" s="8"/>
      <c r="AS1856" s="8"/>
      <c r="AT1856" s="8"/>
      <c r="AU1856" s="8"/>
      <c r="AV1856" s="8"/>
      <c r="AW1856" s="8"/>
      <c r="AX1856" s="8"/>
      <c r="AY1856" s="8"/>
      <c r="AZ1856" s="10"/>
    </row>
    <row r="1857" spans="2:52" x14ac:dyDescent="0.35">
      <c r="B1857" s="7"/>
      <c r="C1857" s="8"/>
      <c r="D1857" s="8"/>
      <c r="E1857" s="8"/>
      <c r="F1857" s="8"/>
      <c r="G1857" s="8"/>
      <c r="H1857" s="8"/>
      <c r="I1857" s="8"/>
      <c r="J1857" s="8"/>
      <c r="K1857" s="8"/>
      <c r="L1857" s="8"/>
      <c r="M1857" s="8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  <c r="AD1857" s="8"/>
      <c r="AE1857" s="8"/>
      <c r="AF1857" s="8"/>
      <c r="AG1857" s="8"/>
      <c r="AH1857" s="8"/>
      <c r="AI1857" s="8"/>
      <c r="AJ1857" s="8"/>
      <c r="AK1857" s="8"/>
      <c r="AL1857" s="8"/>
      <c r="AM1857" s="8"/>
      <c r="AN1857" s="8"/>
      <c r="AO1857" s="8"/>
      <c r="AP1857" s="8"/>
      <c r="AQ1857" s="8"/>
      <c r="AR1857" s="8"/>
      <c r="AS1857" s="8"/>
      <c r="AT1857" s="8"/>
      <c r="AU1857" s="8"/>
      <c r="AV1857" s="8"/>
      <c r="AW1857" s="8"/>
      <c r="AX1857" s="8"/>
      <c r="AY1857" s="8"/>
      <c r="AZ1857" s="10"/>
    </row>
    <row r="1858" spans="2:52" x14ac:dyDescent="0.35">
      <c r="B1858" s="7"/>
      <c r="C1858" s="8"/>
      <c r="D1858" s="8"/>
      <c r="E1858" s="8"/>
      <c r="F1858" s="8"/>
      <c r="G1858" s="8"/>
      <c r="H1858" s="8"/>
      <c r="I1858" s="8"/>
      <c r="J1858" s="8"/>
      <c r="K1858" s="8"/>
      <c r="L1858" s="8"/>
      <c r="M1858" s="8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8"/>
      <c r="AE1858" s="8"/>
      <c r="AF1858" s="8"/>
      <c r="AG1858" s="8"/>
      <c r="AH1858" s="8"/>
      <c r="AI1858" s="8"/>
      <c r="AJ1858" s="8"/>
      <c r="AK1858" s="8"/>
      <c r="AL1858" s="8"/>
      <c r="AM1858" s="8"/>
      <c r="AN1858" s="8"/>
      <c r="AO1858" s="8"/>
      <c r="AP1858" s="8"/>
      <c r="AQ1858" s="8"/>
      <c r="AR1858" s="8"/>
      <c r="AS1858" s="8"/>
      <c r="AT1858" s="8"/>
      <c r="AU1858" s="8"/>
      <c r="AV1858" s="8"/>
      <c r="AW1858" s="8"/>
      <c r="AX1858" s="8"/>
      <c r="AY1858" s="8"/>
      <c r="AZ1858" s="10"/>
    </row>
    <row r="1859" spans="2:52" x14ac:dyDescent="0.35">
      <c r="B1859" s="7"/>
      <c r="C1859" s="8"/>
      <c r="D1859" s="8"/>
      <c r="E1859" s="8"/>
      <c r="F1859" s="8"/>
      <c r="G1859" s="8"/>
      <c r="H1859" s="8"/>
      <c r="I1859" s="8"/>
      <c r="J1859" s="8"/>
      <c r="K1859" s="8"/>
      <c r="L1859" s="8"/>
      <c r="M1859" s="8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  <c r="AD1859" s="8"/>
      <c r="AE1859" s="8"/>
      <c r="AF1859" s="8"/>
      <c r="AG1859" s="8"/>
      <c r="AH1859" s="8"/>
      <c r="AI1859" s="8"/>
      <c r="AJ1859" s="8"/>
      <c r="AK1859" s="8"/>
      <c r="AL1859" s="8"/>
      <c r="AM1859" s="8"/>
      <c r="AN1859" s="8"/>
      <c r="AO1859" s="8"/>
      <c r="AP1859" s="8"/>
      <c r="AQ1859" s="8"/>
      <c r="AR1859" s="8"/>
      <c r="AS1859" s="8"/>
      <c r="AT1859" s="8"/>
      <c r="AU1859" s="8"/>
      <c r="AV1859" s="8"/>
      <c r="AW1859" s="8"/>
      <c r="AX1859" s="8"/>
      <c r="AY1859" s="8"/>
      <c r="AZ1859" s="10"/>
    </row>
    <row r="1860" spans="2:52" x14ac:dyDescent="0.35">
      <c r="B1860" s="7"/>
      <c r="C1860" s="8"/>
      <c r="D1860" s="8"/>
      <c r="E1860" s="8"/>
      <c r="F1860" s="8"/>
      <c r="G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  <c r="AD1860" s="8"/>
      <c r="AE1860" s="8"/>
      <c r="AF1860" s="8"/>
      <c r="AG1860" s="8"/>
      <c r="AH1860" s="8"/>
      <c r="AI1860" s="8"/>
      <c r="AJ1860" s="8"/>
      <c r="AK1860" s="8"/>
      <c r="AL1860" s="8"/>
      <c r="AM1860" s="8"/>
      <c r="AN1860" s="8"/>
      <c r="AO1860" s="8"/>
      <c r="AP1860" s="8"/>
      <c r="AQ1860" s="8"/>
      <c r="AR1860" s="8"/>
      <c r="AS1860" s="8"/>
      <c r="AT1860" s="8"/>
      <c r="AU1860" s="8"/>
      <c r="AV1860" s="8"/>
      <c r="AW1860" s="8"/>
      <c r="AX1860" s="8"/>
      <c r="AY1860" s="8"/>
      <c r="AZ1860" s="10"/>
    </row>
    <row r="1861" spans="2:52" x14ac:dyDescent="0.35">
      <c r="B1861" s="7"/>
      <c r="C1861" s="8"/>
      <c r="D1861" s="8"/>
      <c r="E1861" s="8"/>
      <c r="F1861" s="8"/>
      <c r="G1861" s="8"/>
      <c r="H1861" s="8"/>
      <c r="I1861" s="8"/>
      <c r="J1861" s="8"/>
      <c r="K1861" s="8"/>
      <c r="L1861" s="8"/>
      <c r="M1861" s="8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  <c r="AG1861" s="8"/>
      <c r="AH1861" s="8"/>
      <c r="AI1861" s="8"/>
      <c r="AJ1861" s="8"/>
      <c r="AK1861" s="8"/>
      <c r="AL1861" s="8"/>
      <c r="AM1861" s="8"/>
      <c r="AN1861" s="8"/>
      <c r="AO1861" s="8"/>
      <c r="AP1861" s="8"/>
      <c r="AQ1861" s="8"/>
      <c r="AR1861" s="8"/>
      <c r="AS1861" s="8"/>
      <c r="AT1861" s="8"/>
      <c r="AU1861" s="8"/>
      <c r="AV1861" s="8"/>
      <c r="AW1861" s="8"/>
      <c r="AX1861" s="8"/>
      <c r="AY1861" s="8"/>
      <c r="AZ1861" s="10"/>
    </row>
    <row r="1862" spans="2:52" x14ac:dyDescent="0.35">
      <c r="B1862" s="7"/>
      <c r="C1862" s="8"/>
      <c r="D1862" s="8"/>
      <c r="E1862" s="8"/>
      <c r="F1862" s="8"/>
      <c r="G1862" s="8"/>
      <c r="H1862" s="8"/>
      <c r="I1862" s="8"/>
      <c r="J1862" s="8"/>
      <c r="K1862" s="8"/>
      <c r="L1862" s="8"/>
      <c r="M1862" s="8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  <c r="AG1862" s="8"/>
      <c r="AH1862" s="8"/>
      <c r="AI1862" s="8"/>
      <c r="AJ1862" s="8"/>
      <c r="AK1862" s="8"/>
      <c r="AL1862" s="8"/>
      <c r="AM1862" s="8"/>
      <c r="AN1862" s="8"/>
      <c r="AO1862" s="8"/>
      <c r="AP1862" s="8"/>
      <c r="AQ1862" s="8"/>
      <c r="AR1862" s="8"/>
      <c r="AS1862" s="8"/>
      <c r="AT1862" s="8"/>
      <c r="AU1862" s="8"/>
      <c r="AV1862" s="8"/>
      <c r="AW1862" s="8"/>
      <c r="AX1862" s="8"/>
      <c r="AY1862" s="8"/>
      <c r="AZ1862" s="10"/>
    </row>
    <row r="1863" spans="2:52" x14ac:dyDescent="0.35">
      <c r="B1863" s="7"/>
      <c r="C1863" s="8"/>
      <c r="D1863" s="8"/>
      <c r="E1863" s="8"/>
      <c r="F1863" s="8"/>
      <c r="G1863" s="8"/>
      <c r="H1863" s="8"/>
      <c r="I1863" s="8"/>
      <c r="J1863" s="8"/>
      <c r="K1863" s="8"/>
      <c r="L1863" s="8"/>
      <c r="M1863" s="8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  <c r="AG1863" s="8"/>
      <c r="AH1863" s="8"/>
      <c r="AI1863" s="8"/>
      <c r="AJ1863" s="8"/>
      <c r="AK1863" s="8"/>
      <c r="AL1863" s="8"/>
      <c r="AM1863" s="8"/>
      <c r="AN1863" s="8"/>
      <c r="AO1863" s="8"/>
      <c r="AP1863" s="8"/>
      <c r="AQ1863" s="8"/>
      <c r="AR1863" s="8"/>
      <c r="AS1863" s="8"/>
      <c r="AT1863" s="8"/>
      <c r="AU1863" s="8"/>
      <c r="AV1863" s="8"/>
      <c r="AW1863" s="8"/>
      <c r="AX1863" s="8"/>
      <c r="AY1863" s="8"/>
      <c r="AZ1863" s="10"/>
    </row>
    <row r="1864" spans="2:52" x14ac:dyDescent="0.35">
      <c r="B1864" s="7"/>
      <c r="C1864" s="8"/>
      <c r="D1864" s="8"/>
      <c r="E1864" s="8"/>
      <c r="F1864" s="8"/>
      <c r="G1864" s="8"/>
      <c r="H1864" s="8"/>
      <c r="I1864" s="8"/>
      <c r="J1864" s="8"/>
      <c r="K1864" s="8"/>
      <c r="L1864" s="8"/>
      <c r="M1864" s="8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  <c r="AG1864" s="8"/>
      <c r="AH1864" s="8"/>
      <c r="AI1864" s="8"/>
      <c r="AJ1864" s="8"/>
      <c r="AK1864" s="8"/>
      <c r="AL1864" s="8"/>
      <c r="AM1864" s="8"/>
      <c r="AN1864" s="8"/>
      <c r="AO1864" s="8"/>
      <c r="AP1864" s="8"/>
      <c r="AQ1864" s="8"/>
      <c r="AR1864" s="8"/>
      <c r="AS1864" s="8"/>
      <c r="AT1864" s="8"/>
      <c r="AU1864" s="8"/>
      <c r="AV1864" s="8"/>
      <c r="AW1864" s="8"/>
      <c r="AX1864" s="8"/>
      <c r="AY1864" s="8"/>
      <c r="AZ1864" s="10"/>
    </row>
    <row r="1865" spans="2:52" x14ac:dyDescent="0.35">
      <c r="B1865" s="7"/>
      <c r="C1865" s="8"/>
      <c r="D1865" s="8"/>
      <c r="E1865" s="8"/>
      <c r="F1865" s="8"/>
      <c r="G1865" s="8"/>
      <c r="H1865" s="8"/>
      <c r="I1865" s="8"/>
      <c r="J1865" s="8"/>
      <c r="K1865" s="8"/>
      <c r="L1865" s="8"/>
      <c r="M1865" s="8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  <c r="AG1865" s="8"/>
      <c r="AH1865" s="8"/>
      <c r="AI1865" s="8"/>
      <c r="AJ1865" s="8"/>
      <c r="AK1865" s="8"/>
      <c r="AL1865" s="8"/>
      <c r="AM1865" s="8"/>
      <c r="AN1865" s="8"/>
      <c r="AO1865" s="8"/>
      <c r="AP1865" s="8"/>
      <c r="AQ1865" s="8"/>
      <c r="AR1865" s="8"/>
      <c r="AS1865" s="8"/>
      <c r="AT1865" s="8"/>
      <c r="AU1865" s="8"/>
      <c r="AV1865" s="8"/>
      <c r="AW1865" s="8"/>
      <c r="AX1865" s="8"/>
      <c r="AY1865" s="8"/>
      <c r="AZ1865" s="10"/>
    </row>
    <row r="1866" spans="2:52" x14ac:dyDescent="0.35">
      <c r="B1866" s="7"/>
      <c r="C1866" s="8"/>
      <c r="D1866" s="8"/>
      <c r="E1866" s="8"/>
      <c r="F1866" s="8"/>
      <c r="G1866" s="8"/>
      <c r="H1866" s="8"/>
      <c r="I1866" s="8"/>
      <c r="J1866" s="8"/>
      <c r="K1866" s="8"/>
      <c r="L1866" s="8"/>
      <c r="M1866" s="8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  <c r="AD1866" s="8"/>
      <c r="AE1866" s="8"/>
      <c r="AF1866" s="8"/>
      <c r="AG1866" s="8"/>
      <c r="AH1866" s="8"/>
      <c r="AI1866" s="8"/>
      <c r="AJ1866" s="8"/>
      <c r="AK1866" s="8"/>
      <c r="AL1866" s="8"/>
      <c r="AM1866" s="8"/>
      <c r="AN1866" s="8"/>
      <c r="AO1866" s="8"/>
      <c r="AP1866" s="8"/>
      <c r="AQ1866" s="8"/>
      <c r="AR1866" s="8"/>
      <c r="AS1866" s="8"/>
      <c r="AT1866" s="8"/>
      <c r="AU1866" s="8"/>
      <c r="AV1866" s="8"/>
      <c r="AW1866" s="8"/>
      <c r="AX1866" s="8"/>
      <c r="AY1866" s="8"/>
      <c r="AZ1866" s="10"/>
    </row>
    <row r="1867" spans="2:52" x14ac:dyDescent="0.35">
      <c r="B1867" s="7"/>
      <c r="C1867" s="8"/>
      <c r="D1867" s="8"/>
      <c r="E1867" s="8"/>
      <c r="F1867" s="8"/>
      <c r="G1867" s="8"/>
      <c r="H1867" s="8"/>
      <c r="I1867" s="8"/>
      <c r="J1867" s="8"/>
      <c r="K1867" s="8"/>
      <c r="L1867" s="8"/>
      <c r="M1867" s="8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  <c r="AD1867" s="8"/>
      <c r="AE1867" s="8"/>
      <c r="AF1867" s="8"/>
      <c r="AG1867" s="8"/>
      <c r="AH1867" s="8"/>
      <c r="AI1867" s="8"/>
      <c r="AJ1867" s="8"/>
      <c r="AK1867" s="8"/>
      <c r="AL1867" s="8"/>
      <c r="AM1867" s="8"/>
      <c r="AN1867" s="8"/>
      <c r="AO1867" s="8"/>
      <c r="AP1867" s="8"/>
      <c r="AQ1867" s="8"/>
      <c r="AR1867" s="8"/>
      <c r="AS1867" s="8"/>
      <c r="AT1867" s="8"/>
      <c r="AU1867" s="8"/>
      <c r="AV1867" s="8"/>
      <c r="AW1867" s="8"/>
      <c r="AX1867" s="8"/>
      <c r="AY1867" s="8"/>
      <c r="AZ1867" s="10"/>
    </row>
    <row r="1868" spans="2:52" x14ac:dyDescent="0.35">
      <c r="B1868" s="7"/>
      <c r="C1868" s="8"/>
      <c r="D1868" s="8"/>
      <c r="E1868" s="8"/>
      <c r="F1868" s="8"/>
      <c r="G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  <c r="AD1868" s="8"/>
      <c r="AE1868" s="8"/>
      <c r="AF1868" s="8"/>
      <c r="AG1868" s="8"/>
      <c r="AH1868" s="8"/>
      <c r="AI1868" s="8"/>
      <c r="AJ1868" s="8"/>
      <c r="AK1868" s="8"/>
      <c r="AL1868" s="8"/>
      <c r="AM1868" s="8"/>
      <c r="AN1868" s="8"/>
      <c r="AO1868" s="8"/>
      <c r="AP1868" s="8"/>
      <c r="AQ1868" s="8"/>
      <c r="AR1868" s="8"/>
      <c r="AS1868" s="8"/>
      <c r="AT1868" s="8"/>
      <c r="AU1868" s="8"/>
      <c r="AV1868" s="8"/>
      <c r="AW1868" s="8"/>
      <c r="AX1868" s="8"/>
      <c r="AY1868" s="8"/>
      <c r="AZ1868" s="10"/>
    </row>
    <row r="1869" spans="2:52" x14ac:dyDescent="0.35">
      <c r="B1869" s="7"/>
      <c r="C1869" s="8"/>
      <c r="D1869" s="8"/>
      <c r="E1869" s="8"/>
      <c r="F1869" s="8"/>
      <c r="G1869" s="8"/>
      <c r="H1869" s="8"/>
      <c r="I1869" s="8"/>
      <c r="J1869" s="8"/>
      <c r="K1869" s="8"/>
      <c r="L1869" s="8"/>
      <c r="M1869" s="8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  <c r="AD1869" s="8"/>
      <c r="AE1869" s="8"/>
      <c r="AF1869" s="8"/>
      <c r="AG1869" s="8"/>
      <c r="AH1869" s="8"/>
      <c r="AI1869" s="8"/>
      <c r="AJ1869" s="8"/>
      <c r="AK1869" s="8"/>
      <c r="AL1869" s="8"/>
      <c r="AM1869" s="8"/>
      <c r="AN1869" s="8"/>
      <c r="AO1869" s="8"/>
      <c r="AP1869" s="8"/>
      <c r="AQ1869" s="8"/>
      <c r="AR1869" s="8"/>
      <c r="AS1869" s="8"/>
      <c r="AT1869" s="8"/>
      <c r="AU1869" s="8"/>
      <c r="AV1869" s="8"/>
      <c r="AW1869" s="8"/>
      <c r="AX1869" s="8"/>
      <c r="AY1869" s="8"/>
      <c r="AZ1869" s="10"/>
    </row>
    <row r="1870" spans="2:52" x14ac:dyDescent="0.35">
      <c r="B1870" s="7"/>
      <c r="C1870" s="8"/>
      <c r="D1870" s="8"/>
      <c r="E1870" s="8"/>
      <c r="F1870" s="8"/>
      <c r="G1870" s="8"/>
      <c r="H1870" s="8"/>
      <c r="I1870" s="8"/>
      <c r="J1870" s="8"/>
      <c r="K1870" s="8"/>
      <c r="L1870" s="8"/>
      <c r="M1870" s="8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  <c r="AD1870" s="8"/>
      <c r="AE1870" s="8"/>
      <c r="AF1870" s="8"/>
      <c r="AG1870" s="8"/>
      <c r="AH1870" s="8"/>
      <c r="AI1870" s="8"/>
      <c r="AJ1870" s="8"/>
      <c r="AK1870" s="8"/>
      <c r="AL1870" s="8"/>
      <c r="AM1870" s="8"/>
      <c r="AN1870" s="8"/>
      <c r="AO1870" s="8"/>
      <c r="AP1870" s="8"/>
      <c r="AQ1870" s="8"/>
      <c r="AR1870" s="8"/>
      <c r="AS1870" s="8"/>
      <c r="AT1870" s="8"/>
      <c r="AU1870" s="8"/>
      <c r="AV1870" s="8"/>
      <c r="AW1870" s="8"/>
      <c r="AX1870" s="8"/>
      <c r="AY1870" s="8"/>
      <c r="AZ1870" s="10"/>
    </row>
    <row r="1871" spans="2:52" x14ac:dyDescent="0.35">
      <c r="B1871" s="7"/>
      <c r="C1871" s="8"/>
      <c r="D1871" s="8"/>
      <c r="E1871" s="8"/>
      <c r="F1871" s="8"/>
      <c r="G1871" s="8"/>
      <c r="H1871" s="8"/>
      <c r="I1871" s="8"/>
      <c r="J1871" s="8"/>
      <c r="K1871" s="8"/>
      <c r="L1871" s="8"/>
      <c r="M1871" s="8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  <c r="AD1871" s="8"/>
      <c r="AE1871" s="8"/>
      <c r="AF1871" s="8"/>
      <c r="AG1871" s="8"/>
      <c r="AH1871" s="8"/>
      <c r="AI1871" s="8"/>
      <c r="AJ1871" s="8"/>
      <c r="AK1871" s="8"/>
      <c r="AL1871" s="8"/>
      <c r="AM1871" s="8"/>
      <c r="AN1871" s="8"/>
      <c r="AO1871" s="8"/>
      <c r="AP1871" s="8"/>
      <c r="AQ1871" s="8"/>
      <c r="AR1871" s="8"/>
      <c r="AS1871" s="8"/>
      <c r="AT1871" s="8"/>
      <c r="AU1871" s="8"/>
      <c r="AV1871" s="8"/>
      <c r="AW1871" s="8"/>
      <c r="AX1871" s="8"/>
      <c r="AY1871" s="8"/>
      <c r="AZ1871" s="10"/>
    </row>
    <row r="1872" spans="2:52" x14ac:dyDescent="0.35">
      <c r="B1872" s="7"/>
      <c r="C1872" s="8"/>
      <c r="D1872" s="8"/>
      <c r="E1872" s="8"/>
      <c r="F1872" s="8"/>
      <c r="G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  <c r="AD1872" s="8"/>
      <c r="AE1872" s="8"/>
      <c r="AF1872" s="8"/>
      <c r="AG1872" s="8"/>
      <c r="AH1872" s="8"/>
      <c r="AI1872" s="8"/>
      <c r="AJ1872" s="8"/>
      <c r="AK1872" s="8"/>
      <c r="AL1872" s="8"/>
      <c r="AM1872" s="8"/>
      <c r="AN1872" s="8"/>
      <c r="AO1872" s="8"/>
      <c r="AP1872" s="8"/>
      <c r="AQ1872" s="8"/>
      <c r="AR1872" s="8"/>
      <c r="AS1872" s="8"/>
      <c r="AT1872" s="8"/>
      <c r="AU1872" s="8"/>
      <c r="AV1872" s="8"/>
      <c r="AW1872" s="8"/>
      <c r="AX1872" s="8"/>
      <c r="AY1872" s="8"/>
      <c r="AZ1872" s="10"/>
    </row>
    <row r="1873" spans="2:52" x14ac:dyDescent="0.35">
      <c r="B1873" s="7"/>
      <c r="C1873" s="8"/>
      <c r="D1873" s="8"/>
      <c r="E1873" s="8"/>
      <c r="F1873" s="8"/>
      <c r="G1873" s="8"/>
      <c r="H1873" s="8"/>
      <c r="I1873" s="8"/>
      <c r="J1873" s="8"/>
      <c r="K1873" s="8"/>
      <c r="L1873" s="8"/>
      <c r="M1873" s="8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  <c r="AD1873" s="8"/>
      <c r="AE1873" s="8"/>
      <c r="AF1873" s="8"/>
      <c r="AG1873" s="8"/>
      <c r="AH1873" s="8"/>
      <c r="AI1873" s="8"/>
      <c r="AJ1873" s="8"/>
      <c r="AK1873" s="8"/>
      <c r="AL1873" s="8"/>
      <c r="AM1873" s="8"/>
      <c r="AN1873" s="8"/>
      <c r="AO1873" s="8"/>
      <c r="AP1873" s="8"/>
      <c r="AQ1873" s="8"/>
      <c r="AR1873" s="8"/>
      <c r="AS1873" s="8"/>
      <c r="AT1873" s="8"/>
      <c r="AU1873" s="8"/>
      <c r="AV1873" s="8"/>
      <c r="AW1873" s="8"/>
      <c r="AX1873" s="8"/>
      <c r="AY1873" s="8"/>
      <c r="AZ1873" s="10"/>
    </row>
    <row r="1874" spans="2:52" x14ac:dyDescent="0.35">
      <c r="B1874" s="7"/>
      <c r="C1874" s="8"/>
      <c r="D1874" s="8"/>
      <c r="E1874" s="8"/>
      <c r="F1874" s="8"/>
      <c r="G1874" s="8"/>
      <c r="H1874" s="8"/>
      <c r="I1874" s="8"/>
      <c r="J1874" s="8"/>
      <c r="K1874" s="8"/>
      <c r="L1874" s="8"/>
      <c r="M1874" s="8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8"/>
      <c r="AE1874" s="8"/>
      <c r="AF1874" s="8"/>
      <c r="AG1874" s="8"/>
      <c r="AH1874" s="8"/>
      <c r="AI1874" s="8"/>
      <c r="AJ1874" s="8"/>
      <c r="AK1874" s="8"/>
      <c r="AL1874" s="8"/>
      <c r="AM1874" s="8"/>
      <c r="AN1874" s="8"/>
      <c r="AO1874" s="8"/>
      <c r="AP1874" s="8"/>
      <c r="AQ1874" s="8"/>
      <c r="AR1874" s="8"/>
      <c r="AS1874" s="8"/>
      <c r="AT1874" s="8"/>
      <c r="AU1874" s="8"/>
      <c r="AV1874" s="8"/>
      <c r="AW1874" s="8"/>
      <c r="AX1874" s="8"/>
      <c r="AY1874" s="8"/>
      <c r="AZ1874" s="10"/>
    </row>
    <row r="1875" spans="2:52" x14ac:dyDescent="0.35">
      <c r="B1875" s="7"/>
      <c r="C1875" s="8"/>
      <c r="D1875" s="8"/>
      <c r="E1875" s="8"/>
      <c r="F1875" s="8"/>
      <c r="G1875" s="8"/>
      <c r="H1875" s="8"/>
      <c r="I1875" s="8"/>
      <c r="J1875" s="8"/>
      <c r="K1875" s="8"/>
      <c r="L1875" s="8"/>
      <c r="M1875" s="8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8"/>
      <c r="AE1875" s="8"/>
      <c r="AF1875" s="8"/>
      <c r="AG1875" s="8"/>
      <c r="AH1875" s="8"/>
      <c r="AI1875" s="8"/>
      <c r="AJ1875" s="8"/>
      <c r="AK1875" s="8"/>
      <c r="AL1875" s="8"/>
      <c r="AM1875" s="8"/>
      <c r="AN1875" s="8"/>
      <c r="AO1875" s="8"/>
      <c r="AP1875" s="8"/>
      <c r="AQ1875" s="8"/>
      <c r="AR1875" s="8"/>
      <c r="AS1875" s="8"/>
      <c r="AT1875" s="8"/>
      <c r="AU1875" s="8"/>
      <c r="AV1875" s="8"/>
      <c r="AW1875" s="8"/>
      <c r="AX1875" s="8"/>
      <c r="AY1875" s="8"/>
      <c r="AZ1875" s="10"/>
    </row>
    <row r="1876" spans="2:52" x14ac:dyDescent="0.35">
      <c r="B1876" s="7"/>
      <c r="C1876" s="8"/>
      <c r="D1876" s="8"/>
      <c r="E1876" s="8"/>
      <c r="F1876" s="8"/>
      <c r="G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8"/>
      <c r="AE1876" s="8"/>
      <c r="AF1876" s="8"/>
      <c r="AG1876" s="8"/>
      <c r="AH1876" s="8"/>
      <c r="AI1876" s="8"/>
      <c r="AJ1876" s="8"/>
      <c r="AK1876" s="8"/>
      <c r="AL1876" s="8"/>
      <c r="AM1876" s="8"/>
      <c r="AN1876" s="8"/>
      <c r="AO1876" s="8"/>
      <c r="AP1876" s="8"/>
      <c r="AQ1876" s="8"/>
      <c r="AR1876" s="8"/>
      <c r="AS1876" s="8"/>
      <c r="AT1876" s="8"/>
      <c r="AU1876" s="8"/>
      <c r="AV1876" s="8"/>
      <c r="AW1876" s="8"/>
      <c r="AX1876" s="8"/>
      <c r="AY1876" s="8"/>
      <c r="AZ1876" s="10"/>
    </row>
    <row r="1877" spans="2:52" x14ac:dyDescent="0.35">
      <c r="B1877" s="7"/>
      <c r="C1877" s="8"/>
      <c r="D1877" s="8"/>
      <c r="E1877" s="8"/>
      <c r="F1877" s="8"/>
      <c r="G1877" s="8"/>
      <c r="H1877" s="8"/>
      <c r="I1877" s="8"/>
      <c r="J1877" s="8"/>
      <c r="K1877" s="8"/>
      <c r="L1877" s="8"/>
      <c r="M1877" s="8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  <c r="AD1877" s="8"/>
      <c r="AE1877" s="8"/>
      <c r="AF1877" s="8"/>
      <c r="AG1877" s="8"/>
      <c r="AH1877" s="8"/>
      <c r="AI1877" s="8"/>
      <c r="AJ1877" s="8"/>
      <c r="AK1877" s="8"/>
      <c r="AL1877" s="8"/>
      <c r="AM1877" s="8"/>
      <c r="AN1877" s="8"/>
      <c r="AO1877" s="8"/>
      <c r="AP1877" s="8"/>
      <c r="AQ1877" s="8"/>
      <c r="AR1877" s="8"/>
      <c r="AS1877" s="8"/>
      <c r="AT1877" s="8"/>
      <c r="AU1877" s="8"/>
      <c r="AV1877" s="8"/>
      <c r="AW1877" s="8"/>
      <c r="AX1877" s="8"/>
      <c r="AY1877" s="8"/>
      <c r="AZ1877" s="10"/>
    </row>
    <row r="1878" spans="2:52" x14ac:dyDescent="0.35">
      <c r="B1878" s="7"/>
      <c r="C1878" s="8"/>
      <c r="D1878" s="8"/>
      <c r="E1878" s="8"/>
      <c r="F1878" s="8"/>
      <c r="G1878" s="8"/>
      <c r="H1878" s="8"/>
      <c r="I1878" s="8"/>
      <c r="J1878" s="8"/>
      <c r="K1878" s="8"/>
      <c r="L1878" s="8"/>
      <c r="M1878" s="8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  <c r="AD1878" s="8"/>
      <c r="AE1878" s="8"/>
      <c r="AF1878" s="8"/>
      <c r="AG1878" s="8"/>
      <c r="AH1878" s="8"/>
      <c r="AI1878" s="8"/>
      <c r="AJ1878" s="8"/>
      <c r="AK1878" s="8"/>
      <c r="AL1878" s="8"/>
      <c r="AM1878" s="8"/>
      <c r="AN1878" s="8"/>
      <c r="AO1878" s="8"/>
      <c r="AP1878" s="8"/>
      <c r="AQ1878" s="8"/>
      <c r="AR1878" s="8"/>
      <c r="AS1878" s="8"/>
      <c r="AT1878" s="8"/>
      <c r="AU1878" s="8"/>
      <c r="AV1878" s="8"/>
      <c r="AW1878" s="8"/>
      <c r="AX1878" s="8"/>
      <c r="AY1878" s="8"/>
      <c r="AZ1878" s="10"/>
    </row>
    <row r="1879" spans="2:52" x14ac:dyDescent="0.35">
      <c r="B1879" s="7"/>
      <c r="C1879" s="8"/>
      <c r="D1879" s="8"/>
      <c r="E1879" s="8"/>
      <c r="F1879" s="8"/>
      <c r="G1879" s="8"/>
      <c r="H1879" s="8"/>
      <c r="I1879" s="8"/>
      <c r="J1879" s="8"/>
      <c r="K1879" s="8"/>
      <c r="L1879" s="8"/>
      <c r="M1879" s="8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  <c r="AD1879" s="8"/>
      <c r="AE1879" s="8"/>
      <c r="AF1879" s="8"/>
      <c r="AG1879" s="8"/>
      <c r="AH1879" s="8"/>
      <c r="AI1879" s="8"/>
      <c r="AJ1879" s="8"/>
      <c r="AK1879" s="8"/>
      <c r="AL1879" s="8"/>
      <c r="AM1879" s="8"/>
      <c r="AN1879" s="8"/>
      <c r="AO1879" s="8"/>
      <c r="AP1879" s="8"/>
      <c r="AQ1879" s="8"/>
      <c r="AR1879" s="8"/>
      <c r="AS1879" s="8"/>
      <c r="AT1879" s="8"/>
      <c r="AU1879" s="8"/>
      <c r="AV1879" s="8"/>
      <c r="AW1879" s="8"/>
      <c r="AX1879" s="8"/>
      <c r="AY1879" s="8"/>
      <c r="AZ1879" s="10"/>
    </row>
    <row r="1880" spans="2:52" x14ac:dyDescent="0.35">
      <c r="B1880" s="7"/>
      <c r="C1880" s="8"/>
      <c r="D1880" s="8"/>
      <c r="E1880" s="8"/>
      <c r="F1880" s="8"/>
      <c r="G1880" s="8"/>
      <c r="H1880" s="8"/>
      <c r="I1880" s="8"/>
      <c r="J1880" s="8"/>
      <c r="K1880" s="8"/>
      <c r="L1880" s="8"/>
      <c r="M1880" s="8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8"/>
      <c r="AE1880" s="8"/>
      <c r="AF1880" s="8"/>
      <c r="AG1880" s="8"/>
      <c r="AH1880" s="8"/>
      <c r="AI1880" s="8"/>
      <c r="AJ1880" s="8"/>
      <c r="AK1880" s="8"/>
      <c r="AL1880" s="8"/>
      <c r="AM1880" s="8"/>
      <c r="AN1880" s="8"/>
      <c r="AO1880" s="8"/>
      <c r="AP1880" s="8"/>
      <c r="AQ1880" s="8"/>
      <c r="AR1880" s="8"/>
      <c r="AS1880" s="8"/>
      <c r="AT1880" s="8"/>
      <c r="AU1880" s="8"/>
      <c r="AV1880" s="8"/>
      <c r="AW1880" s="8"/>
      <c r="AX1880" s="8"/>
      <c r="AY1880" s="8"/>
      <c r="AZ1880" s="10"/>
    </row>
    <row r="1881" spans="2:52" x14ac:dyDescent="0.35">
      <c r="B1881" s="7"/>
      <c r="C1881" s="8"/>
      <c r="D1881" s="8"/>
      <c r="E1881" s="8"/>
      <c r="F1881" s="8"/>
      <c r="G1881" s="8"/>
      <c r="H1881" s="8"/>
      <c r="I1881" s="8"/>
      <c r="J1881" s="8"/>
      <c r="K1881" s="8"/>
      <c r="L1881" s="8"/>
      <c r="M1881" s="8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8"/>
      <c r="AE1881" s="8"/>
      <c r="AF1881" s="8"/>
      <c r="AG1881" s="8"/>
      <c r="AH1881" s="8"/>
      <c r="AI1881" s="8"/>
      <c r="AJ1881" s="8"/>
      <c r="AK1881" s="8"/>
      <c r="AL1881" s="8"/>
      <c r="AM1881" s="8"/>
      <c r="AN1881" s="8"/>
      <c r="AO1881" s="8"/>
      <c r="AP1881" s="8"/>
      <c r="AQ1881" s="8"/>
      <c r="AR1881" s="8"/>
      <c r="AS1881" s="8"/>
      <c r="AT1881" s="8"/>
      <c r="AU1881" s="8"/>
      <c r="AV1881" s="8"/>
      <c r="AW1881" s="8"/>
      <c r="AX1881" s="8"/>
      <c r="AY1881" s="8"/>
      <c r="AZ1881" s="10"/>
    </row>
    <row r="1882" spans="2:52" x14ac:dyDescent="0.35">
      <c r="B1882" s="7"/>
      <c r="C1882" s="8"/>
      <c r="D1882" s="8"/>
      <c r="E1882" s="8"/>
      <c r="F1882" s="8"/>
      <c r="G1882" s="8"/>
      <c r="H1882" s="8"/>
      <c r="I1882" s="8"/>
      <c r="J1882" s="8"/>
      <c r="K1882" s="8"/>
      <c r="L1882" s="8"/>
      <c r="M1882" s="8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  <c r="AD1882" s="8"/>
      <c r="AE1882" s="8"/>
      <c r="AF1882" s="8"/>
      <c r="AG1882" s="8"/>
      <c r="AH1882" s="8"/>
      <c r="AI1882" s="8"/>
      <c r="AJ1882" s="8"/>
      <c r="AK1882" s="8"/>
      <c r="AL1882" s="8"/>
      <c r="AM1882" s="8"/>
      <c r="AN1882" s="8"/>
      <c r="AO1882" s="8"/>
      <c r="AP1882" s="8"/>
      <c r="AQ1882" s="8"/>
      <c r="AR1882" s="8"/>
      <c r="AS1882" s="8"/>
      <c r="AT1882" s="8"/>
      <c r="AU1882" s="8"/>
      <c r="AV1882" s="8"/>
      <c r="AW1882" s="8"/>
      <c r="AX1882" s="8"/>
      <c r="AY1882" s="8"/>
      <c r="AZ1882" s="10"/>
    </row>
    <row r="1883" spans="2:52" x14ac:dyDescent="0.35">
      <c r="B1883" s="7"/>
      <c r="C1883" s="8"/>
      <c r="D1883" s="8"/>
      <c r="E1883" s="8"/>
      <c r="F1883" s="8"/>
      <c r="G1883" s="8"/>
      <c r="H1883" s="8"/>
      <c r="I1883" s="8"/>
      <c r="J1883" s="8"/>
      <c r="K1883" s="8"/>
      <c r="L1883" s="8"/>
      <c r="M1883" s="8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  <c r="AD1883" s="8"/>
      <c r="AE1883" s="8"/>
      <c r="AF1883" s="8"/>
      <c r="AG1883" s="8"/>
      <c r="AH1883" s="8"/>
      <c r="AI1883" s="8"/>
      <c r="AJ1883" s="8"/>
      <c r="AK1883" s="8"/>
      <c r="AL1883" s="8"/>
      <c r="AM1883" s="8"/>
      <c r="AN1883" s="8"/>
      <c r="AO1883" s="8"/>
      <c r="AP1883" s="8"/>
      <c r="AQ1883" s="8"/>
      <c r="AR1883" s="8"/>
      <c r="AS1883" s="8"/>
      <c r="AT1883" s="8"/>
      <c r="AU1883" s="8"/>
      <c r="AV1883" s="8"/>
      <c r="AW1883" s="8"/>
      <c r="AX1883" s="8"/>
      <c r="AY1883" s="8"/>
      <c r="AZ1883" s="10"/>
    </row>
    <row r="1884" spans="2:52" x14ac:dyDescent="0.35">
      <c r="B1884" s="7"/>
      <c r="C1884" s="8"/>
      <c r="D1884" s="8"/>
      <c r="E1884" s="8"/>
      <c r="F1884" s="8"/>
      <c r="G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  <c r="AD1884" s="8"/>
      <c r="AE1884" s="8"/>
      <c r="AF1884" s="8"/>
      <c r="AG1884" s="8"/>
      <c r="AH1884" s="8"/>
      <c r="AI1884" s="8"/>
      <c r="AJ1884" s="8"/>
      <c r="AK1884" s="8"/>
      <c r="AL1884" s="8"/>
      <c r="AM1884" s="8"/>
      <c r="AN1884" s="8"/>
      <c r="AO1884" s="8"/>
      <c r="AP1884" s="8"/>
      <c r="AQ1884" s="8"/>
      <c r="AR1884" s="8"/>
      <c r="AS1884" s="8"/>
      <c r="AT1884" s="8"/>
      <c r="AU1884" s="8"/>
      <c r="AV1884" s="8"/>
      <c r="AW1884" s="8"/>
      <c r="AX1884" s="8"/>
      <c r="AY1884" s="8"/>
      <c r="AZ1884" s="10"/>
    </row>
    <row r="1885" spans="2:52" x14ac:dyDescent="0.35">
      <c r="B1885" s="7"/>
      <c r="C1885" s="8"/>
      <c r="D1885" s="8"/>
      <c r="E1885" s="8"/>
      <c r="F1885" s="8"/>
      <c r="G1885" s="8"/>
      <c r="H1885" s="8"/>
      <c r="I1885" s="8"/>
      <c r="J1885" s="8"/>
      <c r="K1885" s="8"/>
      <c r="L1885" s="8"/>
      <c r="M1885" s="8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  <c r="AD1885" s="8"/>
      <c r="AE1885" s="8"/>
      <c r="AF1885" s="8"/>
      <c r="AG1885" s="8"/>
      <c r="AH1885" s="8"/>
      <c r="AI1885" s="8"/>
      <c r="AJ1885" s="8"/>
      <c r="AK1885" s="8"/>
      <c r="AL1885" s="8"/>
      <c r="AM1885" s="8"/>
      <c r="AN1885" s="8"/>
      <c r="AO1885" s="8"/>
      <c r="AP1885" s="8"/>
      <c r="AQ1885" s="8"/>
      <c r="AR1885" s="8"/>
      <c r="AS1885" s="8"/>
      <c r="AT1885" s="8"/>
      <c r="AU1885" s="8"/>
      <c r="AV1885" s="8"/>
      <c r="AW1885" s="8"/>
      <c r="AX1885" s="8"/>
      <c r="AY1885" s="8"/>
      <c r="AZ1885" s="10"/>
    </row>
    <row r="1886" spans="2:52" x14ac:dyDescent="0.35">
      <c r="B1886" s="7"/>
      <c r="C1886" s="8"/>
      <c r="D1886" s="8"/>
      <c r="E1886" s="8"/>
      <c r="F1886" s="8"/>
      <c r="G1886" s="8"/>
      <c r="H1886" s="8"/>
      <c r="I1886" s="8"/>
      <c r="J1886" s="8"/>
      <c r="K1886" s="8"/>
      <c r="L1886" s="8"/>
      <c r="M1886" s="8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  <c r="AD1886" s="8"/>
      <c r="AE1886" s="8"/>
      <c r="AF1886" s="8"/>
      <c r="AG1886" s="8"/>
      <c r="AH1886" s="8"/>
      <c r="AI1886" s="8"/>
      <c r="AJ1886" s="8"/>
      <c r="AK1886" s="8"/>
      <c r="AL1886" s="8"/>
      <c r="AM1886" s="8"/>
      <c r="AN1886" s="8"/>
      <c r="AO1886" s="8"/>
      <c r="AP1886" s="8"/>
      <c r="AQ1886" s="8"/>
      <c r="AR1886" s="8"/>
      <c r="AS1886" s="8"/>
      <c r="AT1886" s="8"/>
      <c r="AU1886" s="8"/>
      <c r="AV1886" s="8"/>
      <c r="AW1886" s="8"/>
      <c r="AX1886" s="8"/>
      <c r="AY1886" s="8"/>
      <c r="AZ1886" s="10"/>
    </row>
    <row r="1887" spans="2:52" x14ac:dyDescent="0.35">
      <c r="B1887" s="7"/>
      <c r="C1887" s="8"/>
      <c r="D1887" s="8"/>
      <c r="E1887" s="8"/>
      <c r="F1887" s="8"/>
      <c r="G1887" s="8"/>
      <c r="H1887" s="8"/>
      <c r="I1887" s="8"/>
      <c r="J1887" s="8"/>
      <c r="K1887" s="8"/>
      <c r="L1887" s="8"/>
      <c r="M1887" s="8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  <c r="AD1887" s="8"/>
      <c r="AE1887" s="8"/>
      <c r="AF1887" s="8"/>
      <c r="AG1887" s="8"/>
      <c r="AH1887" s="8"/>
      <c r="AI1887" s="8"/>
      <c r="AJ1887" s="8"/>
      <c r="AK1887" s="8"/>
      <c r="AL1887" s="8"/>
      <c r="AM1887" s="8"/>
      <c r="AN1887" s="8"/>
      <c r="AO1887" s="8"/>
      <c r="AP1887" s="8"/>
      <c r="AQ1887" s="8"/>
      <c r="AR1887" s="8"/>
      <c r="AS1887" s="8"/>
      <c r="AT1887" s="8"/>
      <c r="AU1887" s="8"/>
      <c r="AV1887" s="8"/>
      <c r="AW1887" s="8"/>
      <c r="AX1887" s="8"/>
      <c r="AY1887" s="8"/>
      <c r="AZ1887" s="10"/>
    </row>
    <row r="1888" spans="2:52" x14ac:dyDescent="0.35">
      <c r="B1888" s="7"/>
      <c r="C1888" s="8"/>
      <c r="D1888" s="8"/>
      <c r="E1888" s="8"/>
      <c r="F1888" s="8"/>
      <c r="G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  <c r="AD1888" s="8"/>
      <c r="AE1888" s="8"/>
      <c r="AF1888" s="8"/>
      <c r="AG1888" s="8"/>
      <c r="AH1888" s="8"/>
      <c r="AI1888" s="8"/>
      <c r="AJ1888" s="8"/>
      <c r="AK1888" s="8"/>
      <c r="AL1888" s="8"/>
      <c r="AM1888" s="8"/>
      <c r="AN1888" s="8"/>
      <c r="AO1888" s="8"/>
      <c r="AP1888" s="8"/>
      <c r="AQ1888" s="8"/>
      <c r="AR1888" s="8"/>
      <c r="AS1888" s="8"/>
      <c r="AT1888" s="8"/>
      <c r="AU1888" s="8"/>
      <c r="AV1888" s="8"/>
      <c r="AW1888" s="8"/>
      <c r="AX1888" s="8"/>
      <c r="AY1888" s="8"/>
      <c r="AZ1888" s="10"/>
    </row>
    <row r="1889" spans="2:52" x14ac:dyDescent="0.35">
      <c r="B1889" s="7"/>
      <c r="C1889" s="8"/>
      <c r="D1889" s="8"/>
      <c r="E1889" s="8"/>
      <c r="F1889" s="8"/>
      <c r="G1889" s="8"/>
      <c r="H1889" s="8"/>
      <c r="I1889" s="8"/>
      <c r="J1889" s="8"/>
      <c r="K1889" s="8"/>
      <c r="L1889" s="8"/>
      <c r="M1889" s="8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  <c r="AD1889" s="8"/>
      <c r="AE1889" s="8"/>
      <c r="AF1889" s="8"/>
      <c r="AG1889" s="8"/>
      <c r="AH1889" s="8"/>
      <c r="AI1889" s="8"/>
      <c r="AJ1889" s="8"/>
      <c r="AK1889" s="8"/>
      <c r="AL1889" s="8"/>
      <c r="AM1889" s="8"/>
      <c r="AN1889" s="8"/>
      <c r="AO1889" s="8"/>
      <c r="AP1889" s="8"/>
      <c r="AQ1889" s="8"/>
      <c r="AR1889" s="8"/>
      <c r="AS1889" s="8"/>
      <c r="AT1889" s="8"/>
      <c r="AU1889" s="8"/>
      <c r="AV1889" s="8"/>
      <c r="AW1889" s="8"/>
      <c r="AX1889" s="8"/>
      <c r="AY1889" s="8"/>
      <c r="AZ1889" s="10"/>
    </row>
    <row r="1890" spans="2:52" x14ac:dyDescent="0.35">
      <c r="B1890" s="7"/>
      <c r="C1890" s="8"/>
      <c r="D1890" s="8"/>
      <c r="E1890" s="8"/>
      <c r="F1890" s="8"/>
      <c r="G1890" s="8"/>
      <c r="H1890" s="8"/>
      <c r="I1890" s="8"/>
      <c r="J1890" s="8"/>
      <c r="K1890" s="8"/>
      <c r="L1890" s="8"/>
      <c r="M1890" s="8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  <c r="AD1890" s="8"/>
      <c r="AE1890" s="8"/>
      <c r="AF1890" s="8"/>
      <c r="AG1890" s="8"/>
      <c r="AH1890" s="8"/>
      <c r="AI1890" s="8"/>
      <c r="AJ1890" s="8"/>
      <c r="AK1890" s="8"/>
      <c r="AL1890" s="8"/>
      <c r="AM1890" s="8"/>
      <c r="AN1890" s="8"/>
      <c r="AO1890" s="8"/>
      <c r="AP1890" s="8"/>
      <c r="AQ1890" s="8"/>
      <c r="AR1890" s="8"/>
      <c r="AS1890" s="8"/>
      <c r="AT1890" s="8"/>
      <c r="AU1890" s="8"/>
      <c r="AV1890" s="8"/>
      <c r="AW1890" s="8"/>
      <c r="AX1890" s="8"/>
      <c r="AY1890" s="8"/>
      <c r="AZ1890" s="10"/>
    </row>
    <row r="1891" spans="2:52" x14ac:dyDescent="0.35">
      <c r="B1891" s="7"/>
      <c r="C1891" s="8"/>
      <c r="D1891" s="8"/>
      <c r="E1891" s="8"/>
      <c r="F1891" s="8"/>
      <c r="G1891" s="8"/>
      <c r="H1891" s="8"/>
      <c r="I1891" s="8"/>
      <c r="J1891" s="8"/>
      <c r="K1891" s="8"/>
      <c r="L1891" s="8"/>
      <c r="M1891" s="8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  <c r="AD1891" s="8"/>
      <c r="AE1891" s="8"/>
      <c r="AF1891" s="8"/>
      <c r="AG1891" s="8"/>
      <c r="AH1891" s="8"/>
      <c r="AI1891" s="8"/>
      <c r="AJ1891" s="8"/>
      <c r="AK1891" s="8"/>
      <c r="AL1891" s="8"/>
      <c r="AM1891" s="8"/>
      <c r="AN1891" s="8"/>
      <c r="AO1891" s="8"/>
      <c r="AP1891" s="8"/>
      <c r="AQ1891" s="8"/>
      <c r="AR1891" s="8"/>
      <c r="AS1891" s="8"/>
      <c r="AT1891" s="8"/>
      <c r="AU1891" s="8"/>
      <c r="AV1891" s="8"/>
      <c r="AW1891" s="8"/>
      <c r="AX1891" s="8"/>
      <c r="AY1891" s="8"/>
      <c r="AZ1891" s="10"/>
    </row>
    <row r="1892" spans="2:52" x14ac:dyDescent="0.35">
      <c r="B1892" s="7"/>
      <c r="C1892" s="8"/>
      <c r="D1892" s="8"/>
      <c r="E1892" s="8"/>
      <c r="F1892" s="8"/>
      <c r="G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  <c r="AD1892" s="8"/>
      <c r="AE1892" s="8"/>
      <c r="AF1892" s="8"/>
      <c r="AG1892" s="8"/>
      <c r="AH1892" s="8"/>
      <c r="AI1892" s="8"/>
      <c r="AJ1892" s="8"/>
      <c r="AK1892" s="8"/>
      <c r="AL1892" s="8"/>
      <c r="AM1892" s="8"/>
      <c r="AN1892" s="8"/>
      <c r="AO1892" s="8"/>
      <c r="AP1892" s="8"/>
      <c r="AQ1892" s="8"/>
      <c r="AR1892" s="8"/>
      <c r="AS1892" s="8"/>
      <c r="AT1892" s="8"/>
      <c r="AU1892" s="8"/>
      <c r="AV1892" s="8"/>
      <c r="AW1892" s="8"/>
      <c r="AX1892" s="8"/>
      <c r="AY1892" s="8"/>
      <c r="AZ1892" s="10"/>
    </row>
    <row r="1893" spans="2:52" x14ac:dyDescent="0.35">
      <c r="B1893" s="7"/>
      <c r="C1893" s="8"/>
      <c r="D1893" s="8"/>
      <c r="E1893" s="8"/>
      <c r="F1893" s="8"/>
      <c r="G1893" s="8"/>
      <c r="H1893" s="8"/>
      <c r="I1893" s="8"/>
      <c r="J1893" s="8"/>
      <c r="K1893" s="8"/>
      <c r="L1893" s="8"/>
      <c r="M1893" s="8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  <c r="AD1893" s="8"/>
      <c r="AE1893" s="8"/>
      <c r="AF1893" s="8"/>
      <c r="AG1893" s="8"/>
      <c r="AH1893" s="8"/>
      <c r="AI1893" s="8"/>
      <c r="AJ1893" s="8"/>
      <c r="AK1893" s="8"/>
      <c r="AL1893" s="8"/>
      <c r="AM1893" s="8"/>
      <c r="AN1893" s="8"/>
      <c r="AO1893" s="8"/>
      <c r="AP1893" s="8"/>
      <c r="AQ1893" s="8"/>
      <c r="AR1893" s="8"/>
      <c r="AS1893" s="8"/>
      <c r="AT1893" s="8"/>
      <c r="AU1893" s="8"/>
      <c r="AV1893" s="8"/>
      <c r="AW1893" s="8"/>
      <c r="AX1893" s="8"/>
      <c r="AY1893" s="8"/>
      <c r="AZ1893" s="10"/>
    </row>
    <row r="1894" spans="2:52" x14ac:dyDescent="0.35">
      <c r="B1894" s="7"/>
      <c r="C1894" s="8"/>
      <c r="D1894" s="8"/>
      <c r="E1894" s="8"/>
      <c r="F1894" s="8"/>
      <c r="G1894" s="8"/>
      <c r="H1894" s="8"/>
      <c r="I1894" s="8"/>
      <c r="J1894" s="8"/>
      <c r="K1894" s="8"/>
      <c r="L1894" s="8"/>
      <c r="M1894" s="8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8"/>
      <c r="AE1894" s="8"/>
      <c r="AF1894" s="8"/>
      <c r="AG1894" s="8"/>
      <c r="AH1894" s="8"/>
      <c r="AI1894" s="8"/>
      <c r="AJ1894" s="8"/>
      <c r="AK1894" s="8"/>
      <c r="AL1894" s="8"/>
      <c r="AM1894" s="8"/>
      <c r="AN1894" s="8"/>
      <c r="AO1894" s="8"/>
      <c r="AP1894" s="8"/>
      <c r="AQ1894" s="8"/>
      <c r="AR1894" s="8"/>
      <c r="AS1894" s="8"/>
      <c r="AT1894" s="8"/>
      <c r="AU1894" s="8"/>
      <c r="AV1894" s="8"/>
      <c r="AW1894" s="8"/>
      <c r="AX1894" s="8"/>
      <c r="AY1894" s="8"/>
      <c r="AZ1894" s="10"/>
    </row>
    <row r="1895" spans="2:52" x14ac:dyDescent="0.35">
      <c r="B1895" s="7"/>
      <c r="C1895" s="8"/>
      <c r="D1895" s="8"/>
      <c r="E1895" s="8"/>
      <c r="F1895" s="8"/>
      <c r="G1895" s="8"/>
      <c r="H1895" s="8"/>
      <c r="I1895" s="8"/>
      <c r="J1895" s="8"/>
      <c r="K1895" s="8"/>
      <c r="L1895" s="8"/>
      <c r="M1895" s="8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  <c r="AD1895" s="8"/>
      <c r="AE1895" s="8"/>
      <c r="AF1895" s="8"/>
      <c r="AG1895" s="8"/>
      <c r="AH1895" s="8"/>
      <c r="AI1895" s="8"/>
      <c r="AJ1895" s="8"/>
      <c r="AK1895" s="8"/>
      <c r="AL1895" s="8"/>
      <c r="AM1895" s="8"/>
      <c r="AN1895" s="8"/>
      <c r="AO1895" s="8"/>
      <c r="AP1895" s="8"/>
      <c r="AQ1895" s="8"/>
      <c r="AR1895" s="8"/>
      <c r="AS1895" s="8"/>
      <c r="AT1895" s="8"/>
      <c r="AU1895" s="8"/>
      <c r="AV1895" s="8"/>
      <c r="AW1895" s="8"/>
      <c r="AX1895" s="8"/>
      <c r="AY1895" s="8"/>
      <c r="AZ1895" s="10"/>
    </row>
    <row r="1896" spans="2:52" x14ac:dyDescent="0.35">
      <c r="B1896" s="7"/>
      <c r="C1896" s="8"/>
      <c r="D1896" s="8"/>
      <c r="E1896" s="8"/>
      <c r="F1896" s="8"/>
      <c r="G1896" s="8"/>
      <c r="H1896" s="8"/>
      <c r="I1896" s="8"/>
      <c r="J1896" s="8"/>
      <c r="K1896" s="8"/>
      <c r="L1896" s="8"/>
      <c r="M1896" s="8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  <c r="AD1896" s="8"/>
      <c r="AE1896" s="8"/>
      <c r="AF1896" s="8"/>
      <c r="AG1896" s="8"/>
      <c r="AH1896" s="8"/>
      <c r="AI1896" s="8"/>
      <c r="AJ1896" s="8"/>
      <c r="AK1896" s="8"/>
      <c r="AL1896" s="8"/>
      <c r="AM1896" s="8"/>
      <c r="AN1896" s="8"/>
      <c r="AO1896" s="8"/>
      <c r="AP1896" s="8"/>
      <c r="AQ1896" s="8"/>
      <c r="AR1896" s="8"/>
      <c r="AS1896" s="8"/>
      <c r="AT1896" s="8"/>
      <c r="AU1896" s="8"/>
      <c r="AV1896" s="8"/>
      <c r="AW1896" s="8"/>
      <c r="AX1896" s="8"/>
      <c r="AY1896" s="8"/>
      <c r="AZ1896" s="10"/>
    </row>
    <row r="1897" spans="2:52" x14ac:dyDescent="0.35">
      <c r="B1897" s="7"/>
      <c r="C1897" s="8"/>
      <c r="D1897" s="8"/>
      <c r="E1897" s="8"/>
      <c r="F1897" s="8"/>
      <c r="G1897" s="8"/>
      <c r="H1897" s="8"/>
      <c r="I1897" s="8"/>
      <c r="J1897" s="8"/>
      <c r="K1897" s="8"/>
      <c r="L1897" s="8"/>
      <c r="M1897" s="8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  <c r="AG1897" s="8"/>
      <c r="AH1897" s="8"/>
      <c r="AI1897" s="8"/>
      <c r="AJ1897" s="8"/>
      <c r="AK1897" s="8"/>
      <c r="AL1897" s="8"/>
      <c r="AM1897" s="8"/>
      <c r="AN1897" s="8"/>
      <c r="AO1897" s="8"/>
      <c r="AP1897" s="8"/>
      <c r="AQ1897" s="8"/>
      <c r="AR1897" s="8"/>
      <c r="AS1897" s="8"/>
      <c r="AT1897" s="8"/>
      <c r="AU1897" s="8"/>
      <c r="AV1897" s="8"/>
      <c r="AW1897" s="8"/>
      <c r="AX1897" s="8"/>
      <c r="AY1897" s="8"/>
      <c r="AZ1897" s="10"/>
    </row>
    <row r="1898" spans="2:52" x14ac:dyDescent="0.35">
      <c r="B1898" s="7"/>
      <c r="C1898" s="8"/>
      <c r="D1898" s="8"/>
      <c r="E1898" s="8"/>
      <c r="F1898" s="8"/>
      <c r="G1898" s="8"/>
      <c r="H1898" s="8"/>
      <c r="I1898" s="8"/>
      <c r="J1898" s="8"/>
      <c r="K1898" s="8"/>
      <c r="L1898" s="8"/>
      <c r="M1898" s="8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  <c r="AG1898" s="8"/>
      <c r="AH1898" s="8"/>
      <c r="AI1898" s="8"/>
      <c r="AJ1898" s="8"/>
      <c r="AK1898" s="8"/>
      <c r="AL1898" s="8"/>
      <c r="AM1898" s="8"/>
      <c r="AN1898" s="8"/>
      <c r="AO1898" s="8"/>
      <c r="AP1898" s="8"/>
      <c r="AQ1898" s="8"/>
      <c r="AR1898" s="8"/>
      <c r="AS1898" s="8"/>
      <c r="AT1898" s="8"/>
      <c r="AU1898" s="8"/>
      <c r="AV1898" s="8"/>
      <c r="AW1898" s="8"/>
      <c r="AX1898" s="8"/>
      <c r="AY1898" s="8"/>
      <c r="AZ1898" s="10"/>
    </row>
    <row r="1899" spans="2:52" x14ac:dyDescent="0.35">
      <c r="B1899" s="7"/>
      <c r="C1899" s="8"/>
      <c r="D1899" s="8"/>
      <c r="E1899" s="8"/>
      <c r="F1899" s="8"/>
      <c r="G1899" s="8"/>
      <c r="H1899" s="8"/>
      <c r="I1899" s="8"/>
      <c r="J1899" s="8"/>
      <c r="K1899" s="8"/>
      <c r="L1899" s="8"/>
      <c r="M1899" s="8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  <c r="AG1899" s="8"/>
      <c r="AH1899" s="8"/>
      <c r="AI1899" s="8"/>
      <c r="AJ1899" s="8"/>
      <c r="AK1899" s="8"/>
      <c r="AL1899" s="8"/>
      <c r="AM1899" s="8"/>
      <c r="AN1899" s="8"/>
      <c r="AO1899" s="8"/>
      <c r="AP1899" s="8"/>
      <c r="AQ1899" s="8"/>
      <c r="AR1899" s="8"/>
      <c r="AS1899" s="8"/>
      <c r="AT1899" s="8"/>
      <c r="AU1899" s="8"/>
      <c r="AV1899" s="8"/>
      <c r="AW1899" s="8"/>
      <c r="AX1899" s="8"/>
      <c r="AY1899" s="8"/>
      <c r="AZ1899" s="10"/>
    </row>
    <row r="1900" spans="2:52" x14ac:dyDescent="0.35">
      <c r="B1900" s="7"/>
      <c r="C1900" s="8"/>
      <c r="D1900" s="8"/>
      <c r="E1900" s="8"/>
      <c r="F1900" s="8"/>
      <c r="G1900" s="8"/>
      <c r="H1900" s="8"/>
      <c r="I1900" s="8"/>
      <c r="J1900" s="8"/>
      <c r="K1900" s="8"/>
      <c r="L1900" s="8"/>
      <c r="M1900" s="8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  <c r="AG1900" s="8"/>
      <c r="AH1900" s="8"/>
      <c r="AI1900" s="8"/>
      <c r="AJ1900" s="8"/>
      <c r="AK1900" s="8"/>
      <c r="AL1900" s="8"/>
      <c r="AM1900" s="8"/>
      <c r="AN1900" s="8"/>
      <c r="AO1900" s="8"/>
      <c r="AP1900" s="8"/>
      <c r="AQ1900" s="8"/>
      <c r="AR1900" s="8"/>
      <c r="AS1900" s="8"/>
      <c r="AT1900" s="8"/>
      <c r="AU1900" s="8"/>
      <c r="AV1900" s="8"/>
      <c r="AW1900" s="8"/>
      <c r="AX1900" s="8"/>
      <c r="AY1900" s="8"/>
      <c r="AZ1900" s="10"/>
    </row>
    <row r="1901" spans="2:52" x14ac:dyDescent="0.35">
      <c r="B1901" s="7"/>
      <c r="C1901" s="8"/>
      <c r="D1901" s="8"/>
      <c r="E1901" s="8"/>
      <c r="F1901" s="8"/>
      <c r="G1901" s="8"/>
      <c r="H1901" s="8"/>
      <c r="I1901" s="8"/>
      <c r="J1901" s="8"/>
      <c r="K1901" s="8"/>
      <c r="L1901" s="8"/>
      <c r="M1901" s="8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  <c r="AG1901" s="8"/>
      <c r="AH1901" s="8"/>
      <c r="AI1901" s="8"/>
      <c r="AJ1901" s="8"/>
      <c r="AK1901" s="8"/>
      <c r="AL1901" s="8"/>
      <c r="AM1901" s="8"/>
      <c r="AN1901" s="8"/>
      <c r="AO1901" s="8"/>
      <c r="AP1901" s="8"/>
      <c r="AQ1901" s="8"/>
      <c r="AR1901" s="8"/>
      <c r="AS1901" s="8"/>
      <c r="AT1901" s="8"/>
      <c r="AU1901" s="8"/>
      <c r="AV1901" s="8"/>
      <c r="AW1901" s="8"/>
      <c r="AX1901" s="8"/>
      <c r="AY1901" s="8"/>
      <c r="AZ1901" s="10"/>
    </row>
    <row r="1902" spans="2:52" x14ac:dyDescent="0.35">
      <c r="B1902" s="7"/>
      <c r="C1902" s="8"/>
      <c r="D1902" s="8"/>
      <c r="E1902" s="8"/>
      <c r="F1902" s="8"/>
      <c r="G1902" s="8"/>
      <c r="H1902" s="8"/>
      <c r="I1902" s="8"/>
      <c r="J1902" s="8"/>
      <c r="K1902" s="8"/>
      <c r="L1902" s="8"/>
      <c r="M1902" s="8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  <c r="AD1902" s="8"/>
      <c r="AE1902" s="8"/>
      <c r="AF1902" s="8"/>
      <c r="AG1902" s="8"/>
      <c r="AH1902" s="8"/>
      <c r="AI1902" s="8"/>
      <c r="AJ1902" s="8"/>
      <c r="AK1902" s="8"/>
      <c r="AL1902" s="8"/>
      <c r="AM1902" s="8"/>
      <c r="AN1902" s="8"/>
      <c r="AO1902" s="8"/>
      <c r="AP1902" s="8"/>
      <c r="AQ1902" s="8"/>
      <c r="AR1902" s="8"/>
      <c r="AS1902" s="8"/>
      <c r="AT1902" s="8"/>
      <c r="AU1902" s="8"/>
      <c r="AV1902" s="8"/>
      <c r="AW1902" s="8"/>
      <c r="AX1902" s="8"/>
      <c r="AY1902" s="8"/>
      <c r="AZ1902" s="10"/>
    </row>
    <row r="1903" spans="2:52" x14ac:dyDescent="0.35">
      <c r="B1903" s="7"/>
      <c r="C1903" s="8"/>
      <c r="D1903" s="8"/>
      <c r="E1903" s="8"/>
      <c r="F1903" s="8"/>
      <c r="G1903" s="8"/>
      <c r="H1903" s="8"/>
      <c r="I1903" s="8"/>
      <c r="J1903" s="8"/>
      <c r="K1903" s="8"/>
      <c r="L1903" s="8"/>
      <c r="M1903" s="8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  <c r="AD1903" s="8"/>
      <c r="AE1903" s="8"/>
      <c r="AF1903" s="8"/>
      <c r="AG1903" s="8"/>
      <c r="AH1903" s="8"/>
      <c r="AI1903" s="8"/>
      <c r="AJ1903" s="8"/>
      <c r="AK1903" s="8"/>
      <c r="AL1903" s="8"/>
      <c r="AM1903" s="8"/>
      <c r="AN1903" s="8"/>
      <c r="AO1903" s="8"/>
      <c r="AP1903" s="8"/>
      <c r="AQ1903" s="8"/>
      <c r="AR1903" s="8"/>
      <c r="AS1903" s="8"/>
      <c r="AT1903" s="8"/>
      <c r="AU1903" s="8"/>
      <c r="AV1903" s="8"/>
      <c r="AW1903" s="8"/>
      <c r="AX1903" s="8"/>
      <c r="AY1903" s="8"/>
      <c r="AZ1903" s="10"/>
    </row>
    <row r="1904" spans="2:52" x14ac:dyDescent="0.35">
      <c r="B1904" s="7"/>
      <c r="C1904" s="8"/>
      <c r="D1904" s="8"/>
      <c r="E1904" s="8"/>
      <c r="F1904" s="8"/>
      <c r="G1904" s="8"/>
      <c r="H1904" s="8"/>
      <c r="I1904" s="8"/>
      <c r="J1904" s="8"/>
      <c r="K1904" s="8"/>
      <c r="L1904" s="8"/>
      <c r="M1904" s="8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  <c r="AD1904" s="8"/>
      <c r="AE1904" s="8"/>
      <c r="AF1904" s="8"/>
      <c r="AG1904" s="8"/>
      <c r="AH1904" s="8"/>
      <c r="AI1904" s="8"/>
      <c r="AJ1904" s="8"/>
      <c r="AK1904" s="8"/>
      <c r="AL1904" s="8"/>
      <c r="AM1904" s="8"/>
      <c r="AN1904" s="8"/>
      <c r="AO1904" s="8"/>
      <c r="AP1904" s="8"/>
      <c r="AQ1904" s="8"/>
      <c r="AR1904" s="8"/>
      <c r="AS1904" s="8"/>
      <c r="AT1904" s="8"/>
      <c r="AU1904" s="8"/>
      <c r="AV1904" s="8"/>
      <c r="AW1904" s="8"/>
      <c r="AX1904" s="8"/>
      <c r="AY1904" s="8"/>
      <c r="AZ1904" s="10"/>
    </row>
    <row r="1905" spans="2:52" x14ac:dyDescent="0.35">
      <c r="B1905" s="7"/>
      <c r="C1905" s="8"/>
      <c r="D1905" s="8"/>
      <c r="E1905" s="8"/>
      <c r="F1905" s="8"/>
      <c r="G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  <c r="AD1905" s="8"/>
      <c r="AE1905" s="8"/>
      <c r="AF1905" s="8"/>
      <c r="AG1905" s="8"/>
      <c r="AH1905" s="8"/>
      <c r="AI1905" s="8"/>
      <c r="AJ1905" s="8"/>
      <c r="AK1905" s="8"/>
      <c r="AL1905" s="8"/>
      <c r="AM1905" s="8"/>
      <c r="AN1905" s="8"/>
      <c r="AO1905" s="8"/>
      <c r="AP1905" s="8"/>
      <c r="AQ1905" s="8"/>
      <c r="AR1905" s="8"/>
      <c r="AS1905" s="8"/>
      <c r="AT1905" s="8"/>
      <c r="AU1905" s="8"/>
      <c r="AV1905" s="8"/>
      <c r="AW1905" s="8"/>
      <c r="AX1905" s="8"/>
      <c r="AY1905" s="8"/>
      <c r="AZ1905" s="10"/>
    </row>
    <row r="1906" spans="2:52" x14ac:dyDescent="0.35">
      <c r="B1906" s="7"/>
      <c r="C1906" s="8"/>
      <c r="D1906" s="8"/>
      <c r="E1906" s="8"/>
      <c r="F1906" s="8"/>
      <c r="G1906" s="8"/>
      <c r="H1906" s="8"/>
      <c r="I1906" s="8"/>
      <c r="J1906" s="8"/>
      <c r="K1906" s="8"/>
      <c r="L1906" s="8"/>
      <c r="M1906" s="8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  <c r="AD1906" s="8"/>
      <c r="AE1906" s="8"/>
      <c r="AF1906" s="8"/>
      <c r="AG1906" s="8"/>
      <c r="AH1906" s="8"/>
      <c r="AI1906" s="8"/>
      <c r="AJ1906" s="8"/>
      <c r="AK1906" s="8"/>
      <c r="AL1906" s="8"/>
      <c r="AM1906" s="8"/>
      <c r="AN1906" s="8"/>
      <c r="AO1906" s="8"/>
      <c r="AP1906" s="8"/>
      <c r="AQ1906" s="8"/>
      <c r="AR1906" s="8"/>
      <c r="AS1906" s="8"/>
      <c r="AT1906" s="8"/>
      <c r="AU1906" s="8"/>
      <c r="AV1906" s="8"/>
      <c r="AW1906" s="8"/>
      <c r="AX1906" s="8"/>
      <c r="AY1906" s="8"/>
      <c r="AZ1906" s="10"/>
    </row>
    <row r="1907" spans="2:52" x14ac:dyDescent="0.35">
      <c r="B1907" s="7"/>
      <c r="C1907" s="8"/>
      <c r="D1907" s="8"/>
      <c r="E1907" s="8"/>
      <c r="F1907" s="8"/>
      <c r="G1907" s="8"/>
      <c r="H1907" s="8"/>
      <c r="I1907" s="8"/>
      <c r="J1907" s="8"/>
      <c r="K1907" s="8"/>
      <c r="L1907" s="8"/>
      <c r="M1907" s="8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  <c r="AD1907" s="8"/>
      <c r="AE1907" s="8"/>
      <c r="AF1907" s="8"/>
      <c r="AG1907" s="8"/>
      <c r="AH1907" s="8"/>
      <c r="AI1907" s="8"/>
      <c r="AJ1907" s="8"/>
      <c r="AK1907" s="8"/>
      <c r="AL1907" s="8"/>
      <c r="AM1907" s="8"/>
      <c r="AN1907" s="8"/>
      <c r="AO1907" s="8"/>
      <c r="AP1907" s="8"/>
      <c r="AQ1907" s="8"/>
      <c r="AR1907" s="8"/>
      <c r="AS1907" s="8"/>
      <c r="AT1907" s="8"/>
      <c r="AU1907" s="8"/>
      <c r="AV1907" s="8"/>
      <c r="AW1907" s="8"/>
      <c r="AX1907" s="8"/>
      <c r="AY1907" s="8"/>
      <c r="AZ1907" s="10"/>
    </row>
    <row r="1908" spans="2:52" x14ac:dyDescent="0.35">
      <c r="B1908" s="7"/>
      <c r="C1908" s="8"/>
      <c r="D1908" s="8"/>
      <c r="E1908" s="8"/>
      <c r="F1908" s="8"/>
      <c r="G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  <c r="AD1908" s="8"/>
      <c r="AE1908" s="8"/>
      <c r="AF1908" s="8"/>
      <c r="AG1908" s="8"/>
      <c r="AH1908" s="8"/>
      <c r="AI1908" s="8"/>
      <c r="AJ1908" s="8"/>
      <c r="AK1908" s="8"/>
      <c r="AL1908" s="8"/>
      <c r="AM1908" s="8"/>
      <c r="AN1908" s="8"/>
      <c r="AO1908" s="8"/>
      <c r="AP1908" s="8"/>
      <c r="AQ1908" s="8"/>
      <c r="AR1908" s="8"/>
      <c r="AS1908" s="8"/>
      <c r="AT1908" s="8"/>
      <c r="AU1908" s="8"/>
      <c r="AV1908" s="8"/>
      <c r="AW1908" s="8"/>
      <c r="AX1908" s="8"/>
      <c r="AY1908" s="8"/>
      <c r="AZ1908" s="10"/>
    </row>
    <row r="1909" spans="2:52" x14ac:dyDescent="0.35">
      <c r="B1909" s="7"/>
      <c r="C1909" s="8"/>
      <c r="D1909" s="8"/>
      <c r="E1909" s="8"/>
      <c r="F1909" s="8"/>
      <c r="G1909" s="8"/>
      <c r="H1909" s="8"/>
      <c r="I1909" s="8"/>
      <c r="J1909" s="8"/>
      <c r="K1909" s="8"/>
      <c r="L1909" s="8"/>
      <c r="M1909" s="8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  <c r="AD1909" s="8"/>
      <c r="AE1909" s="8"/>
      <c r="AF1909" s="8"/>
      <c r="AG1909" s="8"/>
      <c r="AH1909" s="8"/>
      <c r="AI1909" s="8"/>
      <c r="AJ1909" s="8"/>
      <c r="AK1909" s="8"/>
      <c r="AL1909" s="8"/>
      <c r="AM1909" s="8"/>
      <c r="AN1909" s="8"/>
      <c r="AO1909" s="8"/>
      <c r="AP1909" s="8"/>
      <c r="AQ1909" s="8"/>
      <c r="AR1909" s="8"/>
      <c r="AS1909" s="8"/>
      <c r="AT1909" s="8"/>
      <c r="AU1909" s="8"/>
      <c r="AV1909" s="8"/>
      <c r="AW1909" s="8"/>
      <c r="AX1909" s="8"/>
      <c r="AY1909" s="8"/>
      <c r="AZ1909" s="10"/>
    </row>
    <row r="1910" spans="2:52" x14ac:dyDescent="0.35">
      <c r="B1910" s="7"/>
      <c r="C1910" s="8"/>
      <c r="D1910" s="8"/>
      <c r="E1910" s="8"/>
      <c r="F1910" s="8"/>
      <c r="G1910" s="8"/>
      <c r="H1910" s="8"/>
      <c r="I1910" s="8"/>
      <c r="J1910" s="8"/>
      <c r="K1910" s="8"/>
      <c r="L1910" s="8"/>
      <c r="M1910" s="8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8"/>
      <c r="AE1910" s="8"/>
      <c r="AF1910" s="8"/>
      <c r="AG1910" s="8"/>
      <c r="AH1910" s="8"/>
      <c r="AI1910" s="8"/>
      <c r="AJ1910" s="8"/>
      <c r="AK1910" s="8"/>
      <c r="AL1910" s="8"/>
      <c r="AM1910" s="8"/>
      <c r="AN1910" s="8"/>
      <c r="AO1910" s="8"/>
      <c r="AP1910" s="8"/>
      <c r="AQ1910" s="8"/>
      <c r="AR1910" s="8"/>
      <c r="AS1910" s="8"/>
      <c r="AT1910" s="8"/>
      <c r="AU1910" s="8"/>
      <c r="AV1910" s="8"/>
      <c r="AW1910" s="8"/>
      <c r="AX1910" s="8"/>
      <c r="AY1910" s="8"/>
      <c r="AZ1910" s="10"/>
    </row>
    <row r="1911" spans="2:52" x14ac:dyDescent="0.35">
      <c r="B1911" s="7"/>
      <c r="C1911" s="8"/>
      <c r="D1911" s="8"/>
      <c r="E1911" s="8"/>
      <c r="F1911" s="8"/>
      <c r="G1911" s="8"/>
      <c r="H1911" s="8"/>
      <c r="I1911" s="8"/>
      <c r="J1911" s="8"/>
      <c r="K1911" s="8"/>
      <c r="L1911" s="8"/>
      <c r="M1911" s="8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8"/>
      <c r="AE1911" s="8"/>
      <c r="AF1911" s="8"/>
      <c r="AG1911" s="8"/>
      <c r="AH1911" s="8"/>
      <c r="AI1911" s="8"/>
      <c r="AJ1911" s="8"/>
      <c r="AK1911" s="8"/>
      <c r="AL1911" s="8"/>
      <c r="AM1911" s="8"/>
      <c r="AN1911" s="8"/>
      <c r="AO1911" s="8"/>
      <c r="AP1911" s="8"/>
      <c r="AQ1911" s="8"/>
      <c r="AR1911" s="8"/>
      <c r="AS1911" s="8"/>
      <c r="AT1911" s="8"/>
      <c r="AU1911" s="8"/>
      <c r="AV1911" s="8"/>
      <c r="AW1911" s="8"/>
      <c r="AX1911" s="8"/>
      <c r="AY1911" s="8"/>
      <c r="AZ1911" s="10"/>
    </row>
    <row r="1912" spans="2:52" x14ac:dyDescent="0.35">
      <c r="B1912" s="7"/>
      <c r="C1912" s="8"/>
      <c r="D1912" s="8"/>
      <c r="E1912" s="8"/>
      <c r="F1912" s="8"/>
      <c r="G1912" s="8"/>
      <c r="H1912" s="8"/>
      <c r="I1912" s="8"/>
      <c r="J1912" s="8"/>
      <c r="K1912" s="8"/>
      <c r="L1912" s="8"/>
      <c r="M1912" s="8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8"/>
      <c r="AE1912" s="8"/>
      <c r="AF1912" s="8"/>
      <c r="AG1912" s="8"/>
      <c r="AH1912" s="8"/>
      <c r="AI1912" s="8"/>
      <c r="AJ1912" s="8"/>
      <c r="AK1912" s="8"/>
      <c r="AL1912" s="8"/>
      <c r="AM1912" s="8"/>
      <c r="AN1912" s="8"/>
      <c r="AO1912" s="8"/>
      <c r="AP1912" s="8"/>
      <c r="AQ1912" s="8"/>
      <c r="AR1912" s="8"/>
      <c r="AS1912" s="8"/>
      <c r="AT1912" s="8"/>
      <c r="AU1912" s="8"/>
      <c r="AV1912" s="8"/>
      <c r="AW1912" s="8"/>
      <c r="AX1912" s="8"/>
      <c r="AY1912" s="8"/>
      <c r="AZ1912" s="10"/>
    </row>
    <row r="1913" spans="2:52" x14ac:dyDescent="0.35">
      <c r="B1913" s="7"/>
      <c r="C1913" s="8"/>
      <c r="D1913" s="8"/>
      <c r="E1913" s="8"/>
      <c r="F1913" s="8"/>
      <c r="G1913" s="8"/>
      <c r="H1913" s="8"/>
      <c r="I1913" s="8"/>
      <c r="J1913" s="8"/>
      <c r="K1913" s="8"/>
      <c r="L1913" s="8"/>
      <c r="M1913" s="8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  <c r="AD1913" s="8"/>
      <c r="AE1913" s="8"/>
      <c r="AF1913" s="8"/>
      <c r="AG1913" s="8"/>
      <c r="AH1913" s="8"/>
      <c r="AI1913" s="8"/>
      <c r="AJ1913" s="8"/>
      <c r="AK1913" s="8"/>
      <c r="AL1913" s="8"/>
      <c r="AM1913" s="8"/>
      <c r="AN1913" s="8"/>
      <c r="AO1913" s="8"/>
      <c r="AP1913" s="8"/>
      <c r="AQ1913" s="8"/>
      <c r="AR1913" s="8"/>
      <c r="AS1913" s="8"/>
      <c r="AT1913" s="8"/>
      <c r="AU1913" s="8"/>
      <c r="AV1913" s="8"/>
      <c r="AW1913" s="8"/>
      <c r="AX1913" s="8"/>
      <c r="AY1913" s="8"/>
      <c r="AZ1913" s="10"/>
    </row>
    <row r="1914" spans="2:52" x14ac:dyDescent="0.35">
      <c r="B1914" s="7"/>
      <c r="C1914" s="8"/>
      <c r="D1914" s="8"/>
      <c r="E1914" s="8"/>
      <c r="F1914" s="8"/>
      <c r="G1914" s="8"/>
      <c r="H1914" s="8"/>
      <c r="I1914" s="8"/>
      <c r="J1914" s="8"/>
      <c r="K1914" s="8"/>
      <c r="L1914" s="8"/>
      <c r="M1914" s="8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  <c r="AD1914" s="8"/>
      <c r="AE1914" s="8"/>
      <c r="AF1914" s="8"/>
      <c r="AG1914" s="8"/>
      <c r="AH1914" s="8"/>
      <c r="AI1914" s="8"/>
      <c r="AJ1914" s="8"/>
      <c r="AK1914" s="8"/>
      <c r="AL1914" s="8"/>
      <c r="AM1914" s="8"/>
      <c r="AN1914" s="8"/>
      <c r="AO1914" s="8"/>
      <c r="AP1914" s="8"/>
      <c r="AQ1914" s="8"/>
      <c r="AR1914" s="8"/>
      <c r="AS1914" s="8"/>
      <c r="AT1914" s="8"/>
      <c r="AU1914" s="8"/>
      <c r="AV1914" s="8"/>
      <c r="AW1914" s="8"/>
      <c r="AX1914" s="8"/>
      <c r="AY1914" s="8"/>
      <c r="AZ1914" s="10"/>
    </row>
    <row r="1915" spans="2:52" x14ac:dyDescent="0.35">
      <c r="B1915" s="7"/>
      <c r="C1915" s="8"/>
      <c r="D1915" s="8"/>
      <c r="E1915" s="8"/>
      <c r="F1915" s="8"/>
      <c r="G1915" s="8"/>
      <c r="H1915" s="8"/>
      <c r="I1915" s="8"/>
      <c r="J1915" s="8"/>
      <c r="K1915" s="8"/>
      <c r="L1915" s="8"/>
      <c r="M1915" s="8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  <c r="AD1915" s="8"/>
      <c r="AE1915" s="8"/>
      <c r="AF1915" s="8"/>
      <c r="AG1915" s="8"/>
      <c r="AH1915" s="8"/>
      <c r="AI1915" s="8"/>
      <c r="AJ1915" s="8"/>
      <c r="AK1915" s="8"/>
      <c r="AL1915" s="8"/>
      <c r="AM1915" s="8"/>
      <c r="AN1915" s="8"/>
      <c r="AO1915" s="8"/>
      <c r="AP1915" s="8"/>
      <c r="AQ1915" s="8"/>
      <c r="AR1915" s="8"/>
      <c r="AS1915" s="8"/>
      <c r="AT1915" s="8"/>
      <c r="AU1915" s="8"/>
      <c r="AV1915" s="8"/>
      <c r="AW1915" s="8"/>
      <c r="AX1915" s="8"/>
      <c r="AY1915" s="8"/>
      <c r="AZ1915" s="10"/>
    </row>
    <row r="1916" spans="2:52" x14ac:dyDescent="0.35">
      <c r="B1916" s="7"/>
      <c r="C1916" s="8"/>
      <c r="D1916" s="8"/>
      <c r="E1916" s="8"/>
      <c r="F1916" s="8"/>
      <c r="G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8"/>
      <c r="AE1916" s="8"/>
      <c r="AF1916" s="8"/>
      <c r="AG1916" s="8"/>
      <c r="AH1916" s="8"/>
      <c r="AI1916" s="8"/>
      <c r="AJ1916" s="8"/>
      <c r="AK1916" s="8"/>
      <c r="AL1916" s="8"/>
      <c r="AM1916" s="8"/>
      <c r="AN1916" s="8"/>
      <c r="AO1916" s="8"/>
      <c r="AP1916" s="8"/>
      <c r="AQ1916" s="8"/>
      <c r="AR1916" s="8"/>
      <c r="AS1916" s="8"/>
      <c r="AT1916" s="8"/>
      <c r="AU1916" s="8"/>
      <c r="AV1916" s="8"/>
      <c r="AW1916" s="8"/>
      <c r="AX1916" s="8"/>
      <c r="AY1916" s="8"/>
      <c r="AZ1916" s="10"/>
    </row>
    <row r="1917" spans="2:52" x14ac:dyDescent="0.35">
      <c r="B1917" s="7"/>
      <c r="C1917" s="8"/>
      <c r="D1917" s="8"/>
      <c r="E1917" s="8"/>
      <c r="F1917" s="8"/>
      <c r="G1917" s="8"/>
      <c r="H1917" s="8"/>
      <c r="I1917" s="8"/>
      <c r="J1917" s="8"/>
      <c r="K1917" s="8"/>
      <c r="L1917" s="8"/>
      <c r="M1917" s="8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8"/>
      <c r="AE1917" s="8"/>
      <c r="AF1917" s="8"/>
      <c r="AG1917" s="8"/>
      <c r="AH1917" s="8"/>
      <c r="AI1917" s="8"/>
      <c r="AJ1917" s="8"/>
      <c r="AK1917" s="8"/>
      <c r="AL1917" s="8"/>
      <c r="AM1917" s="8"/>
      <c r="AN1917" s="8"/>
      <c r="AO1917" s="8"/>
      <c r="AP1917" s="8"/>
      <c r="AQ1917" s="8"/>
      <c r="AR1917" s="8"/>
      <c r="AS1917" s="8"/>
      <c r="AT1917" s="8"/>
      <c r="AU1917" s="8"/>
      <c r="AV1917" s="8"/>
      <c r="AW1917" s="8"/>
      <c r="AX1917" s="8"/>
      <c r="AY1917" s="8"/>
      <c r="AZ1917" s="10"/>
    </row>
    <row r="1918" spans="2:52" x14ac:dyDescent="0.35">
      <c r="B1918" s="7"/>
      <c r="C1918" s="8"/>
      <c r="D1918" s="8"/>
      <c r="E1918" s="8"/>
      <c r="F1918" s="8"/>
      <c r="G1918" s="8"/>
      <c r="H1918" s="8"/>
      <c r="I1918" s="8"/>
      <c r="J1918" s="8"/>
      <c r="K1918" s="8"/>
      <c r="L1918" s="8"/>
      <c r="M1918" s="8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  <c r="AD1918" s="8"/>
      <c r="AE1918" s="8"/>
      <c r="AF1918" s="8"/>
      <c r="AG1918" s="8"/>
      <c r="AH1918" s="8"/>
      <c r="AI1918" s="8"/>
      <c r="AJ1918" s="8"/>
      <c r="AK1918" s="8"/>
      <c r="AL1918" s="8"/>
      <c r="AM1918" s="8"/>
      <c r="AN1918" s="8"/>
      <c r="AO1918" s="8"/>
      <c r="AP1918" s="8"/>
      <c r="AQ1918" s="8"/>
      <c r="AR1918" s="8"/>
      <c r="AS1918" s="8"/>
      <c r="AT1918" s="8"/>
      <c r="AU1918" s="8"/>
      <c r="AV1918" s="8"/>
      <c r="AW1918" s="8"/>
      <c r="AX1918" s="8"/>
      <c r="AY1918" s="8"/>
      <c r="AZ1918" s="10"/>
    </row>
    <row r="1919" spans="2:52" x14ac:dyDescent="0.35">
      <c r="B1919" s="7"/>
      <c r="C1919" s="8"/>
      <c r="D1919" s="8"/>
      <c r="E1919" s="8"/>
      <c r="F1919" s="8"/>
      <c r="G1919" s="8"/>
      <c r="H1919" s="8"/>
      <c r="I1919" s="8"/>
      <c r="J1919" s="8"/>
      <c r="K1919" s="8"/>
      <c r="L1919" s="8"/>
      <c r="M1919" s="8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  <c r="AD1919" s="8"/>
      <c r="AE1919" s="8"/>
      <c r="AF1919" s="8"/>
      <c r="AG1919" s="8"/>
      <c r="AH1919" s="8"/>
      <c r="AI1919" s="8"/>
      <c r="AJ1919" s="8"/>
      <c r="AK1919" s="8"/>
      <c r="AL1919" s="8"/>
      <c r="AM1919" s="8"/>
      <c r="AN1919" s="8"/>
      <c r="AO1919" s="8"/>
      <c r="AP1919" s="8"/>
      <c r="AQ1919" s="8"/>
      <c r="AR1919" s="8"/>
      <c r="AS1919" s="8"/>
      <c r="AT1919" s="8"/>
      <c r="AU1919" s="8"/>
      <c r="AV1919" s="8"/>
      <c r="AW1919" s="8"/>
      <c r="AX1919" s="8"/>
      <c r="AY1919" s="8"/>
      <c r="AZ1919" s="10"/>
    </row>
    <row r="1920" spans="2:52" x14ac:dyDescent="0.35">
      <c r="B1920" s="7"/>
      <c r="C1920" s="8"/>
      <c r="D1920" s="8"/>
      <c r="E1920" s="8"/>
      <c r="F1920" s="8"/>
      <c r="G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  <c r="AD1920" s="8"/>
      <c r="AE1920" s="8"/>
      <c r="AF1920" s="8"/>
      <c r="AG1920" s="8"/>
      <c r="AH1920" s="8"/>
      <c r="AI1920" s="8"/>
      <c r="AJ1920" s="8"/>
      <c r="AK1920" s="8"/>
      <c r="AL1920" s="8"/>
      <c r="AM1920" s="8"/>
      <c r="AN1920" s="8"/>
      <c r="AO1920" s="8"/>
      <c r="AP1920" s="8"/>
      <c r="AQ1920" s="8"/>
      <c r="AR1920" s="8"/>
      <c r="AS1920" s="8"/>
      <c r="AT1920" s="8"/>
      <c r="AU1920" s="8"/>
      <c r="AV1920" s="8"/>
      <c r="AW1920" s="8"/>
      <c r="AX1920" s="8"/>
      <c r="AY1920" s="8"/>
      <c r="AZ1920" s="10"/>
    </row>
    <row r="1921" spans="2:52" x14ac:dyDescent="0.35">
      <c r="B1921" s="7"/>
      <c r="C1921" s="8"/>
      <c r="D1921" s="8"/>
      <c r="E1921" s="8"/>
      <c r="F1921" s="8"/>
      <c r="G1921" s="8"/>
      <c r="H1921" s="8"/>
      <c r="I1921" s="8"/>
      <c r="J1921" s="8"/>
      <c r="K1921" s="8"/>
      <c r="L1921" s="8"/>
      <c r="M1921" s="8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  <c r="AD1921" s="8"/>
      <c r="AE1921" s="8"/>
      <c r="AF1921" s="8"/>
      <c r="AG1921" s="8"/>
      <c r="AH1921" s="8"/>
      <c r="AI1921" s="8"/>
      <c r="AJ1921" s="8"/>
      <c r="AK1921" s="8"/>
      <c r="AL1921" s="8"/>
      <c r="AM1921" s="8"/>
      <c r="AN1921" s="8"/>
      <c r="AO1921" s="8"/>
      <c r="AP1921" s="8"/>
      <c r="AQ1921" s="8"/>
      <c r="AR1921" s="8"/>
      <c r="AS1921" s="8"/>
      <c r="AT1921" s="8"/>
      <c r="AU1921" s="8"/>
      <c r="AV1921" s="8"/>
      <c r="AW1921" s="8"/>
      <c r="AX1921" s="8"/>
      <c r="AY1921" s="8"/>
      <c r="AZ1921" s="10"/>
    </row>
    <row r="1922" spans="2:52" x14ac:dyDescent="0.35">
      <c r="B1922" s="7"/>
      <c r="C1922" s="8"/>
      <c r="D1922" s="8"/>
      <c r="E1922" s="8"/>
      <c r="F1922" s="8"/>
      <c r="G1922" s="8"/>
      <c r="H1922" s="8"/>
      <c r="I1922" s="8"/>
      <c r="J1922" s="8"/>
      <c r="K1922" s="8"/>
      <c r="L1922" s="8"/>
      <c r="M1922" s="8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  <c r="AD1922" s="8"/>
      <c r="AE1922" s="8"/>
      <c r="AF1922" s="8"/>
      <c r="AG1922" s="8"/>
      <c r="AH1922" s="8"/>
      <c r="AI1922" s="8"/>
      <c r="AJ1922" s="8"/>
      <c r="AK1922" s="8"/>
      <c r="AL1922" s="8"/>
      <c r="AM1922" s="8"/>
      <c r="AN1922" s="8"/>
      <c r="AO1922" s="8"/>
      <c r="AP1922" s="8"/>
      <c r="AQ1922" s="8"/>
      <c r="AR1922" s="8"/>
      <c r="AS1922" s="8"/>
      <c r="AT1922" s="8"/>
      <c r="AU1922" s="8"/>
      <c r="AV1922" s="8"/>
      <c r="AW1922" s="8"/>
      <c r="AX1922" s="8"/>
      <c r="AY1922" s="8"/>
      <c r="AZ1922" s="10"/>
    </row>
    <row r="1923" spans="2:52" x14ac:dyDescent="0.35">
      <c r="B1923" s="7"/>
      <c r="C1923" s="8"/>
      <c r="D1923" s="8"/>
      <c r="E1923" s="8"/>
      <c r="F1923" s="8"/>
      <c r="G1923" s="8"/>
      <c r="H1923" s="8"/>
      <c r="I1923" s="8"/>
      <c r="J1923" s="8"/>
      <c r="K1923" s="8"/>
      <c r="L1923" s="8"/>
      <c r="M1923" s="8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  <c r="AD1923" s="8"/>
      <c r="AE1923" s="8"/>
      <c r="AF1923" s="8"/>
      <c r="AG1923" s="8"/>
      <c r="AH1923" s="8"/>
      <c r="AI1923" s="8"/>
      <c r="AJ1923" s="8"/>
      <c r="AK1923" s="8"/>
      <c r="AL1923" s="8"/>
      <c r="AM1923" s="8"/>
      <c r="AN1923" s="8"/>
      <c r="AO1923" s="8"/>
      <c r="AP1923" s="8"/>
      <c r="AQ1923" s="8"/>
      <c r="AR1923" s="8"/>
      <c r="AS1923" s="8"/>
      <c r="AT1923" s="8"/>
      <c r="AU1923" s="8"/>
      <c r="AV1923" s="8"/>
      <c r="AW1923" s="8"/>
      <c r="AX1923" s="8"/>
      <c r="AY1923" s="8"/>
      <c r="AZ1923" s="10"/>
    </row>
    <row r="1924" spans="2:52" x14ac:dyDescent="0.35">
      <c r="B1924" s="7"/>
      <c r="C1924" s="8"/>
      <c r="D1924" s="8"/>
      <c r="E1924" s="8"/>
      <c r="F1924" s="8"/>
      <c r="G1924" s="8"/>
      <c r="H1924" s="8"/>
      <c r="I1924" s="8"/>
      <c r="J1924" s="8"/>
      <c r="K1924" s="8"/>
      <c r="L1924" s="8"/>
      <c r="M1924" s="8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  <c r="AD1924" s="8"/>
      <c r="AE1924" s="8"/>
      <c r="AF1924" s="8"/>
      <c r="AG1924" s="8"/>
      <c r="AH1924" s="8"/>
      <c r="AI1924" s="8"/>
      <c r="AJ1924" s="8"/>
      <c r="AK1924" s="8"/>
      <c r="AL1924" s="8"/>
      <c r="AM1924" s="8"/>
      <c r="AN1924" s="8"/>
      <c r="AO1924" s="8"/>
      <c r="AP1924" s="8"/>
      <c r="AQ1924" s="8"/>
      <c r="AR1924" s="8"/>
      <c r="AS1924" s="8"/>
      <c r="AT1924" s="8"/>
      <c r="AU1924" s="8"/>
      <c r="AV1924" s="8"/>
      <c r="AW1924" s="8"/>
      <c r="AX1924" s="8"/>
      <c r="AY1924" s="8"/>
      <c r="AZ1924" s="10"/>
    </row>
    <row r="1925" spans="2:52" x14ac:dyDescent="0.35">
      <c r="B1925" s="7"/>
      <c r="C1925" s="8"/>
      <c r="D1925" s="8"/>
      <c r="E1925" s="8"/>
      <c r="F1925" s="8"/>
      <c r="G1925" s="8"/>
      <c r="H1925" s="8"/>
      <c r="I1925" s="8"/>
      <c r="J1925" s="8"/>
      <c r="K1925" s="8"/>
      <c r="L1925" s="8"/>
      <c r="M1925" s="8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  <c r="AD1925" s="8"/>
      <c r="AE1925" s="8"/>
      <c r="AF1925" s="8"/>
      <c r="AG1925" s="8"/>
      <c r="AH1925" s="8"/>
      <c r="AI1925" s="8"/>
      <c r="AJ1925" s="8"/>
      <c r="AK1925" s="8"/>
      <c r="AL1925" s="8"/>
      <c r="AM1925" s="8"/>
      <c r="AN1925" s="8"/>
      <c r="AO1925" s="8"/>
      <c r="AP1925" s="8"/>
      <c r="AQ1925" s="8"/>
      <c r="AR1925" s="8"/>
      <c r="AS1925" s="8"/>
      <c r="AT1925" s="8"/>
      <c r="AU1925" s="8"/>
      <c r="AV1925" s="8"/>
      <c r="AW1925" s="8"/>
      <c r="AX1925" s="8"/>
      <c r="AY1925" s="8"/>
      <c r="AZ1925" s="10"/>
    </row>
    <row r="1926" spans="2:52" x14ac:dyDescent="0.35">
      <c r="B1926" s="7"/>
      <c r="C1926" s="8"/>
      <c r="D1926" s="8"/>
      <c r="E1926" s="8"/>
      <c r="F1926" s="8"/>
      <c r="G1926" s="8"/>
      <c r="H1926" s="8"/>
      <c r="I1926" s="8"/>
      <c r="J1926" s="8"/>
      <c r="K1926" s="8"/>
      <c r="L1926" s="8"/>
      <c r="M1926" s="8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  <c r="AD1926" s="8"/>
      <c r="AE1926" s="8"/>
      <c r="AF1926" s="8"/>
      <c r="AG1926" s="8"/>
      <c r="AH1926" s="8"/>
      <c r="AI1926" s="8"/>
      <c r="AJ1926" s="8"/>
      <c r="AK1926" s="8"/>
      <c r="AL1926" s="8"/>
      <c r="AM1926" s="8"/>
      <c r="AN1926" s="8"/>
      <c r="AO1926" s="8"/>
      <c r="AP1926" s="8"/>
      <c r="AQ1926" s="8"/>
      <c r="AR1926" s="8"/>
      <c r="AS1926" s="8"/>
      <c r="AT1926" s="8"/>
      <c r="AU1926" s="8"/>
      <c r="AV1926" s="8"/>
      <c r="AW1926" s="8"/>
      <c r="AX1926" s="8"/>
      <c r="AY1926" s="8"/>
      <c r="AZ1926" s="10"/>
    </row>
    <row r="1927" spans="2:52" x14ac:dyDescent="0.35">
      <c r="B1927" s="7"/>
      <c r="C1927" s="8"/>
      <c r="D1927" s="8"/>
      <c r="E1927" s="8"/>
      <c r="F1927" s="8"/>
      <c r="G1927" s="8"/>
      <c r="H1927" s="8"/>
      <c r="I1927" s="8"/>
      <c r="J1927" s="8"/>
      <c r="K1927" s="8"/>
      <c r="L1927" s="8"/>
      <c r="M1927" s="8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  <c r="AD1927" s="8"/>
      <c r="AE1927" s="8"/>
      <c r="AF1927" s="8"/>
      <c r="AG1927" s="8"/>
      <c r="AH1927" s="8"/>
      <c r="AI1927" s="8"/>
      <c r="AJ1927" s="8"/>
      <c r="AK1927" s="8"/>
      <c r="AL1927" s="8"/>
      <c r="AM1927" s="8"/>
      <c r="AN1927" s="8"/>
      <c r="AO1927" s="8"/>
      <c r="AP1927" s="8"/>
      <c r="AQ1927" s="8"/>
      <c r="AR1927" s="8"/>
      <c r="AS1927" s="8"/>
      <c r="AT1927" s="8"/>
      <c r="AU1927" s="8"/>
      <c r="AV1927" s="8"/>
      <c r="AW1927" s="8"/>
      <c r="AX1927" s="8"/>
      <c r="AY1927" s="8"/>
      <c r="AZ1927" s="10"/>
    </row>
    <row r="1928" spans="2:52" x14ac:dyDescent="0.35">
      <c r="B1928" s="7"/>
      <c r="C1928" s="8"/>
      <c r="D1928" s="8"/>
      <c r="E1928" s="8"/>
      <c r="F1928" s="8"/>
      <c r="G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  <c r="AD1928" s="8"/>
      <c r="AE1928" s="8"/>
      <c r="AF1928" s="8"/>
      <c r="AG1928" s="8"/>
      <c r="AH1928" s="8"/>
      <c r="AI1928" s="8"/>
      <c r="AJ1928" s="8"/>
      <c r="AK1928" s="8"/>
      <c r="AL1928" s="8"/>
      <c r="AM1928" s="8"/>
      <c r="AN1928" s="8"/>
      <c r="AO1928" s="8"/>
      <c r="AP1928" s="8"/>
      <c r="AQ1928" s="8"/>
      <c r="AR1928" s="8"/>
      <c r="AS1928" s="8"/>
      <c r="AT1928" s="8"/>
      <c r="AU1928" s="8"/>
      <c r="AV1928" s="8"/>
      <c r="AW1928" s="8"/>
      <c r="AX1928" s="8"/>
      <c r="AY1928" s="8"/>
      <c r="AZ1928" s="10"/>
    </row>
    <row r="1929" spans="2:52" x14ac:dyDescent="0.35">
      <c r="B1929" s="7"/>
      <c r="C1929" s="8"/>
      <c r="D1929" s="8"/>
      <c r="E1929" s="8"/>
      <c r="F1929" s="8"/>
      <c r="G1929" s="8"/>
      <c r="H1929" s="8"/>
      <c r="I1929" s="8"/>
      <c r="J1929" s="8"/>
      <c r="K1929" s="8"/>
      <c r="L1929" s="8"/>
      <c r="M1929" s="8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  <c r="AD1929" s="8"/>
      <c r="AE1929" s="8"/>
      <c r="AF1929" s="8"/>
      <c r="AG1929" s="8"/>
      <c r="AH1929" s="8"/>
      <c r="AI1929" s="8"/>
      <c r="AJ1929" s="8"/>
      <c r="AK1929" s="8"/>
      <c r="AL1929" s="8"/>
      <c r="AM1929" s="8"/>
      <c r="AN1929" s="8"/>
      <c r="AO1929" s="8"/>
      <c r="AP1929" s="8"/>
      <c r="AQ1929" s="8"/>
      <c r="AR1929" s="8"/>
      <c r="AS1929" s="8"/>
      <c r="AT1929" s="8"/>
      <c r="AU1929" s="8"/>
      <c r="AV1929" s="8"/>
      <c r="AW1929" s="8"/>
      <c r="AX1929" s="8"/>
      <c r="AY1929" s="8"/>
      <c r="AZ1929" s="10"/>
    </row>
    <row r="1930" spans="2:52" x14ac:dyDescent="0.35">
      <c r="B1930" s="7"/>
      <c r="C1930" s="8"/>
      <c r="D1930" s="8"/>
      <c r="E1930" s="8"/>
      <c r="F1930" s="8"/>
      <c r="G1930" s="8"/>
      <c r="H1930" s="8"/>
      <c r="I1930" s="8"/>
      <c r="J1930" s="8"/>
      <c r="K1930" s="8"/>
      <c r="L1930" s="8"/>
      <c r="M1930" s="8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8"/>
      <c r="AE1930" s="8"/>
      <c r="AF1930" s="8"/>
      <c r="AG1930" s="8"/>
      <c r="AH1930" s="8"/>
      <c r="AI1930" s="8"/>
      <c r="AJ1930" s="8"/>
      <c r="AK1930" s="8"/>
      <c r="AL1930" s="8"/>
      <c r="AM1930" s="8"/>
      <c r="AN1930" s="8"/>
      <c r="AO1930" s="8"/>
      <c r="AP1930" s="8"/>
      <c r="AQ1930" s="8"/>
      <c r="AR1930" s="8"/>
      <c r="AS1930" s="8"/>
      <c r="AT1930" s="8"/>
      <c r="AU1930" s="8"/>
      <c r="AV1930" s="8"/>
      <c r="AW1930" s="8"/>
      <c r="AX1930" s="8"/>
      <c r="AY1930" s="8"/>
      <c r="AZ1930" s="10"/>
    </row>
    <row r="1931" spans="2:52" x14ac:dyDescent="0.35">
      <c r="B1931" s="7"/>
      <c r="C1931" s="8"/>
      <c r="D1931" s="8"/>
      <c r="E1931" s="8"/>
      <c r="F1931" s="8"/>
      <c r="G1931" s="8"/>
      <c r="H1931" s="8"/>
      <c r="I1931" s="8"/>
      <c r="J1931" s="8"/>
      <c r="K1931" s="8"/>
      <c r="L1931" s="8"/>
      <c r="M1931" s="8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  <c r="AD1931" s="8"/>
      <c r="AE1931" s="8"/>
      <c r="AF1931" s="8"/>
      <c r="AG1931" s="8"/>
      <c r="AH1931" s="8"/>
      <c r="AI1931" s="8"/>
      <c r="AJ1931" s="8"/>
      <c r="AK1931" s="8"/>
      <c r="AL1931" s="8"/>
      <c r="AM1931" s="8"/>
      <c r="AN1931" s="8"/>
      <c r="AO1931" s="8"/>
      <c r="AP1931" s="8"/>
      <c r="AQ1931" s="8"/>
      <c r="AR1931" s="8"/>
      <c r="AS1931" s="8"/>
      <c r="AT1931" s="8"/>
      <c r="AU1931" s="8"/>
      <c r="AV1931" s="8"/>
      <c r="AW1931" s="8"/>
      <c r="AX1931" s="8"/>
      <c r="AY1931" s="8"/>
      <c r="AZ1931" s="10"/>
    </row>
    <row r="1932" spans="2:52" x14ac:dyDescent="0.35">
      <c r="B1932" s="7"/>
      <c r="C1932" s="8"/>
      <c r="D1932" s="8"/>
      <c r="E1932" s="8"/>
      <c r="F1932" s="8"/>
      <c r="G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  <c r="AD1932" s="8"/>
      <c r="AE1932" s="8"/>
      <c r="AF1932" s="8"/>
      <c r="AG1932" s="8"/>
      <c r="AH1932" s="8"/>
      <c r="AI1932" s="8"/>
      <c r="AJ1932" s="8"/>
      <c r="AK1932" s="8"/>
      <c r="AL1932" s="8"/>
      <c r="AM1932" s="8"/>
      <c r="AN1932" s="8"/>
      <c r="AO1932" s="8"/>
      <c r="AP1932" s="8"/>
      <c r="AQ1932" s="8"/>
      <c r="AR1932" s="8"/>
      <c r="AS1932" s="8"/>
      <c r="AT1932" s="8"/>
      <c r="AU1932" s="8"/>
      <c r="AV1932" s="8"/>
      <c r="AW1932" s="8"/>
      <c r="AX1932" s="8"/>
      <c r="AY1932" s="8"/>
      <c r="AZ1932" s="10"/>
    </row>
    <row r="1933" spans="2:52" x14ac:dyDescent="0.35">
      <c r="B1933" s="7"/>
      <c r="C1933" s="8"/>
      <c r="D1933" s="8"/>
      <c r="E1933" s="8"/>
      <c r="F1933" s="8"/>
      <c r="G1933" s="8"/>
      <c r="H1933" s="8"/>
      <c r="I1933" s="8"/>
      <c r="J1933" s="8"/>
      <c r="K1933" s="8"/>
      <c r="L1933" s="8"/>
      <c r="M1933" s="8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  <c r="AG1933" s="8"/>
      <c r="AH1933" s="8"/>
      <c r="AI1933" s="8"/>
      <c r="AJ1933" s="8"/>
      <c r="AK1933" s="8"/>
      <c r="AL1933" s="8"/>
      <c r="AM1933" s="8"/>
      <c r="AN1933" s="8"/>
      <c r="AO1933" s="8"/>
      <c r="AP1933" s="8"/>
      <c r="AQ1933" s="8"/>
      <c r="AR1933" s="8"/>
      <c r="AS1933" s="8"/>
      <c r="AT1933" s="8"/>
      <c r="AU1933" s="8"/>
      <c r="AV1933" s="8"/>
      <c r="AW1933" s="8"/>
      <c r="AX1933" s="8"/>
      <c r="AY1933" s="8"/>
      <c r="AZ1933" s="10"/>
    </row>
    <row r="1934" spans="2:52" x14ac:dyDescent="0.35">
      <c r="B1934" s="7"/>
      <c r="C1934" s="8"/>
      <c r="D1934" s="8"/>
      <c r="E1934" s="8"/>
      <c r="F1934" s="8"/>
      <c r="G1934" s="8"/>
      <c r="H1934" s="8"/>
      <c r="I1934" s="8"/>
      <c r="J1934" s="8"/>
      <c r="K1934" s="8"/>
      <c r="L1934" s="8"/>
      <c r="M1934" s="8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  <c r="AG1934" s="8"/>
      <c r="AH1934" s="8"/>
      <c r="AI1934" s="8"/>
      <c r="AJ1934" s="8"/>
      <c r="AK1934" s="8"/>
      <c r="AL1934" s="8"/>
      <c r="AM1934" s="8"/>
      <c r="AN1934" s="8"/>
      <c r="AO1934" s="8"/>
      <c r="AP1934" s="8"/>
      <c r="AQ1934" s="8"/>
      <c r="AR1934" s="8"/>
      <c r="AS1934" s="8"/>
      <c r="AT1934" s="8"/>
      <c r="AU1934" s="8"/>
      <c r="AV1934" s="8"/>
      <c r="AW1934" s="8"/>
      <c r="AX1934" s="8"/>
      <c r="AY1934" s="8"/>
      <c r="AZ1934" s="10"/>
    </row>
    <row r="1935" spans="2:52" x14ac:dyDescent="0.35">
      <c r="B1935" s="7"/>
      <c r="C1935" s="8"/>
      <c r="D1935" s="8"/>
      <c r="E1935" s="8"/>
      <c r="F1935" s="8"/>
      <c r="G1935" s="8"/>
      <c r="H1935" s="8"/>
      <c r="I1935" s="8"/>
      <c r="J1935" s="8"/>
      <c r="K1935" s="8"/>
      <c r="L1935" s="8"/>
      <c r="M1935" s="8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  <c r="AG1935" s="8"/>
      <c r="AH1935" s="8"/>
      <c r="AI1935" s="8"/>
      <c r="AJ1935" s="8"/>
      <c r="AK1935" s="8"/>
      <c r="AL1935" s="8"/>
      <c r="AM1935" s="8"/>
      <c r="AN1935" s="8"/>
      <c r="AO1935" s="8"/>
      <c r="AP1935" s="8"/>
      <c r="AQ1935" s="8"/>
      <c r="AR1935" s="8"/>
      <c r="AS1935" s="8"/>
      <c r="AT1935" s="8"/>
      <c r="AU1935" s="8"/>
      <c r="AV1935" s="8"/>
      <c r="AW1935" s="8"/>
      <c r="AX1935" s="8"/>
      <c r="AY1935" s="8"/>
      <c r="AZ1935" s="10"/>
    </row>
    <row r="1936" spans="2:52" x14ac:dyDescent="0.35">
      <c r="B1936" s="7"/>
      <c r="C1936" s="8"/>
      <c r="D1936" s="8"/>
      <c r="E1936" s="8"/>
      <c r="F1936" s="8"/>
      <c r="G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  <c r="AG1936" s="8"/>
      <c r="AH1936" s="8"/>
      <c r="AI1936" s="8"/>
      <c r="AJ1936" s="8"/>
      <c r="AK1936" s="8"/>
      <c r="AL1936" s="8"/>
      <c r="AM1936" s="8"/>
      <c r="AN1936" s="8"/>
      <c r="AO1936" s="8"/>
      <c r="AP1936" s="8"/>
      <c r="AQ1936" s="8"/>
      <c r="AR1936" s="8"/>
      <c r="AS1936" s="8"/>
      <c r="AT1936" s="8"/>
      <c r="AU1936" s="8"/>
      <c r="AV1936" s="8"/>
      <c r="AW1936" s="8"/>
      <c r="AX1936" s="8"/>
      <c r="AY1936" s="8"/>
      <c r="AZ1936" s="10"/>
    </row>
    <row r="1937" spans="2:52" x14ac:dyDescent="0.35">
      <c r="B1937" s="7"/>
      <c r="C1937" s="8"/>
      <c r="D1937" s="8"/>
      <c r="E1937" s="8"/>
      <c r="F1937" s="8"/>
      <c r="G1937" s="8"/>
      <c r="H1937" s="8"/>
      <c r="I1937" s="8"/>
      <c r="J1937" s="8"/>
      <c r="K1937" s="8"/>
      <c r="L1937" s="8"/>
      <c r="M1937" s="8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  <c r="AG1937" s="8"/>
      <c r="AH1937" s="8"/>
      <c r="AI1937" s="8"/>
      <c r="AJ1937" s="8"/>
      <c r="AK1937" s="8"/>
      <c r="AL1937" s="8"/>
      <c r="AM1937" s="8"/>
      <c r="AN1937" s="8"/>
      <c r="AO1937" s="8"/>
      <c r="AP1937" s="8"/>
      <c r="AQ1937" s="8"/>
      <c r="AR1937" s="8"/>
      <c r="AS1937" s="8"/>
      <c r="AT1937" s="8"/>
      <c r="AU1937" s="8"/>
      <c r="AV1937" s="8"/>
      <c r="AW1937" s="8"/>
      <c r="AX1937" s="8"/>
      <c r="AY1937" s="8"/>
      <c r="AZ1937" s="10"/>
    </row>
    <row r="1938" spans="2:52" x14ac:dyDescent="0.35">
      <c r="B1938" s="7"/>
      <c r="C1938" s="8"/>
      <c r="D1938" s="8"/>
      <c r="E1938" s="8"/>
      <c r="F1938" s="8"/>
      <c r="G1938" s="8"/>
      <c r="H1938" s="8"/>
      <c r="I1938" s="8"/>
      <c r="J1938" s="8"/>
      <c r="K1938" s="8"/>
      <c r="L1938" s="8"/>
      <c r="M1938" s="8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  <c r="AD1938" s="8"/>
      <c r="AE1938" s="8"/>
      <c r="AF1938" s="8"/>
      <c r="AG1938" s="8"/>
      <c r="AH1938" s="8"/>
      <c r="AI1938" s="8"/>
      <c r="AJ1938" s="8"/>
      <c r="AK1938" s="8"/>
      <c r="AL1938" s="8"/>
      <c r="AM1938" s="8"/>
      <c r="AN1938" s="8"/>
      <c r="AO1938" s="8"/>
      <c r="AP1938" s="8"/>
      <c r="AQ1938" s="8"/>
      <c r="AR1938" s="8"/>
      <c r="AS1938" s="8"/>
      <c r="AT1938" s="8"/>
      <c r="AU1938" s="8"/>
      <c r="AV1938" s="8"/>
      <c r="AW1938" s="8"/>
      <c r="AX1938" s="8"/>
      <c r="AY1938" s="8"/>
      <c r="AZ1938" s="10"/>
    </row>
    <row r="1939" spans="2:52" x14ac:dyDescent="0.35">
      <c r="B1939" s="7"/>
      <c r="C1939" s="8"/>
      <c r="D1939" s="8"/>
      <c r="E1939" s="8"/>
      <c r="F1939" s="8"/>
      <c r="G1939" s="8"/>
      <c r="H1939" s="8"/>
      <c r="I1939" s="8"/>
      <c r="J1939" s="8"/>
      <c r="K1939" s="8"/>
      <c r="L1939" s="8"/>
      <c r="M1939" s="8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  <c r="AD1939" s="8"/>
      <c r="AE1939" s="8"/>
      <c r="AF1939" s="8"/>
      <c r="AG1939" s="8"/>
      <c r="AH1939" s="8"/>
      <c r="AI1939" s="8"/>
      <c r="AJ1939" s="8"/>
      <c r="AK1939" s="8"/>
      <c r="AL1939" s="8"/>
      <c r="AM1939" s="8"/>
      <c r="AN1939" s="8"/>
      <c r="AO1939" s="8"/>
      <c r="AP1939" s="8"/>
      <c r="AQ1939" s="8"/>
      <c r="AR1939" s="8"/>
      <c r="AS1939" s="8"/>
      <c r="AT1939" s="8"/>
      <c r="AU1939" s="8"/>
      <c r="AV1939" s="8"/>
      <c r="AW1939" s="8"/>
      <c r="AX1939" s="8"/>
      <c r="AY1939" s="8"/>
      <c r="AZ1939" s="10"/>
    </row>
    <row r="1940" spans="2:52" x14ac:dyDescent="0.35">
      <c r="B1940" s="7"/>
      <c r="C1940" s="8"/>
      <c r="D1940" s="8"/>
      <c r="E1940" s="8"/>
      <c r="F1940" s="8"/>
      <c r="G1940" s="8"/>
      <c r="H1940" s="8"/>
      <c r="I1940" s="8"/>
      <c r="J1940" s="8"/>
      <c r="K1940" s="8"/>
      <c r="L1940" s="8"/>
      <c r="M1940" s="8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  <c r="AD1940" s="8"/>
      <c r="AE1940" s="8"/>
      <c r="AF1940" s="8"/>
      <c r="AG1940" s="8"/>
      <c r="AH1940" s="8"/>
      <c r="AI1940" s="8"/>
      <c r="AJ1940" s="8"/>
      <c r="AK1940" s="8"/>
      <c r="AL1940" s="8"/>
      <c r="AM1940" s="8"/>
      <c r="AN1940" s="8"/>
      <c r="AO1940" s="8"/>
      <c r="AP1940" s="8"/>
      <c r="AQ1940" s="8"/>
      <c r="AR1940" s="8"/>
      <c r="AS1940" s="8"/>
      <c r="AT1940" s="8"/>
      <c r="AU1940" s="8"/>
      <c r="AV1940" s="8"/>
      <c r="AW1940" s="8"/>
      <c r="AX1940" s="8"/>
      <c r="AY1940" s="8"/>
      <c r="AZ1940" s="10"/>
    </row>
    <row r="1941" spans="2:52" x14ac:dyDescent="0.35">
      <c r="B1941" s="7"/>
      <c r="C1941" s="8"/>
      <c r="D1941" s="8"/>
      <c r="E1941" s="8"/>
      <c r="F1941" s="8"/>
      <c r="G1941" s="8"/>
      <c r="H1941" s="8"/>
      <c r="I1941" s="8"/>
      <c r="J1941" s="8"/>
      <c r="K1941" s="8"/>
      <c r="L1941" s="8"/>
      <c r="M1941" s="8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  <c r="AD1941" s="8"/>
      <c r="AE1941" s="8"/>
      <c r="AF1941" s="8"/>
      <c r="AG1941" s="8"/>
      <c r="AH1941" s="8"/>
      <c r="AI1941" s="8"/>
      <c r="AJ1941" s="8"/>
      <c r="AK1941" s="8"/>
      <c r="AL1941" s="8"/>
      <c r="AM1941" s="8"/>
      <c r="AN1941" s="8"/>
      <c r="AO1941" s="8"/>
      <c r="AP1941" s="8"/>
      <c r="AQ1941" s="8"/>
      <c r="AR1941" s="8"/>
      <c r="AS1941" s="8"/>
      <c r="AT1941" s="8"/>
      <c r="AU1941" s="8"/>
      <c r="AV1941" s="8"/>
      <c r="AW1941" s="8"/>
      <c r="AX1941" s="8"/>
      <c r="AY1941" s="8"/>
      <c r="AZ1941" s="10"/>
    </row>
    <row r="1942" spans="2:52" x14ac:dyDescent="0.35">
      <c r="B1942" s="7"/>
      <c r="C1942" s="8"/>
      <c r="D1942" s="8"/>
      <c r="E1942" s="8"/>
      <c r="F1942" s="8"/>
      <c r="G1942" s="8"/>
      <c r="H1942" s="8"/>
      <c r="I1942" s="8"/>
      <c r="J1942" s="8"/>
      <c r="K1942" s="8"/>
      <c r="L1942" s="8"/>
      <c r="M1942" s="8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  <c r="AD1942" s="8"/>
      <c r="AE1942" s="8"/>
      <c r="AF1942" s="8"/>
      <c r="AG1942" s="8"/>
      <c r="AH1942" s="8"/>
      <c r="AI1942" s="8"/>
      <c r="AJ1942" s="8"/>
      <c r="AK1942" s="8"/>
      <c r="AL1942" s="8"/>
      <c r="AM1942" s="8"/>
      <c r="AN1942" s="8"/>
      <c r="AO1942" s="8"/>
      <c r="AP1942" s="8"/>
      <c r="AQ1942" s="8"/>
      <c r="AR1942" s="8"/>
      <c r="AS1942" s="8"/>
      <c r="AT1942" s="8"/>
      <c r="AU1942" s="8"/>
      <c r="AV1942" s="8"/>
      <c r="AW1942" s="8"/>
      <c r="AX1942" s="8"/>
      <c r="AY1942" s="8"/>
      <c r="AZ1942" s="10"/>
    </row>
    <row r="1943" spans="2:52" x14ac:dyDescent="0.35">
      <c r="B1943" s="7"/>
      <c r="C1943" s="8"/>
      <c r="D1943" s="8"/>
      <c r="E1943" s="8"/>
      <c r="F1943" s="8"/>
      <c r="G1943" s="8"/>
      <c r="H1943" s="8"/>
      <c r="I1943" s="8"/>
      <c r="J1943" s="8"/>
      <c r="K1943" s="8"/>
      <c r="L1943" s="8"/>
      <c r="M1943" s="8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  <c r="AD1943" s="8"/>
      <c r="AE1943" s="8"/>
      <c r="AF1943" s="8"/>
      <c r="AG1943" s="8"/>
      <c r="AH1943" s="8"/>
      <c r="AI1943" s="8"/>
      <c r="AJ1943" s="8"/>
      <c r="AK1943" s="8"/>
      <c r="AL1943" s="8"/>
      <c r="AM1943" s="8"/>
      <c r="AN1943" s="8"/>
      <c r="AO1943" s="8"/>
      <c r="AP1943" s="8"/>
      <c r="AQ1943" s="8"/>
      <c r="AR1943" s="8"/>
      <c r="AS1943" s="8"/>
      <c r="AT1943" s="8"/>
      <c r="AU1943" s="8"/>
      <c r="AV1943" s="8"/>
      <c r="AW1943" s="8"/>
      <c r="AX1943" s="8"/>
      <c r="AY1943" s="8"/>
      <c r="AZ1943" s="10"/>
    </row>
    <row r="1944" spans="2:52" x14ac:dyDescent="0.35">
      <c r="B1944" s="7"/>
      <c r="C1944" s="8"/>
      <c r="D1944" s="8"/>
      <c r="E1944" s="8"/>
      <c r="F1944" s="8"/>
      <c r="G1944" s="8"/>
      <c r="H1944" s="8"/>
      <c r="I1944" s="8"/>
      <c r="J1944" s="8"/>
      <c r="K1944" s="8"/>
      <c r="L1944" s="8"/>
      <c r="M1944" s="8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  <c r="AD1944" s="8"/>
      <c r="AE1944" s="8"/>
      <c r="AF1944" s="8"/>
      <c r="AG1944" s="8"/>
      <c r="AH1944" s="8"/>
      <c r="AI1944" s="8"/>
      <c r="AJ1944" s="8"/>
      <c r="AK1944" s="8"/>
      <c r="AL1944" s="8"/>
      <c r="AM1944" s="8"/>
      <c r="AN1944" s="8"/>
      <c r="AO1944" s="8"/>
      <c r="AP1944" s="8"/>
      <c r="AQ1944" s="8"/>
      <c r="AR1944" s="8"/>
      <c r="AS1944" s="8"/>
      <c r="AT1944" s="8"/>
      <c r="AU1944" s="8"/>
      <c r="AV1944" s="8"/>
      <c r="AW1944" s="8"/>
      <c r="AX1944" s="8"/>
      <c r="AY1944" s="8"/>
      <c r="AZ1944" s="10"/>
    </row>
    <row r="1945" spans="2:52" x14ac:dyDescent="0.35">
      <c r="B1945" s="7"/>
      <c r="C1945" s="8"/>
      <c r="D1945" s="8"/>
      <c r="E1945" s="8"/>
      <c r="F1945" s="8"/>
      <c r="G1945" s="8"/>
      <c r="H1945" s="8"/>
      <c r="I1945" s="8"/>
      <c r="J1945" s="8"/>
      <c r="K1945" s="8"/>
      <c r="L1945" s="8"/>
      <c r="M1945" s="8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  <c r="AD1945" s="8"/>
      <c r="AE1945" s="8"/>
      <c r="AF1945" s="8"/>
      <c r="AG1945" s="8"/>
      <c r="AH1945" s="8"/>
      <c r="AI1945" s="8"/>
      <c r="AJ1945" s="8"/>
      <c r="AK1945" s="8"/>
      <c r="AL1945" s="8"/>
      <c r="AM1945" s="8"/>
      <c r="AN1945" s="8"/>
      <c r="AO1945" s="8"/>
      <c r="AP1945" s="8"/>
      <c r="AQ1945" s="8"/>
      <c r="AR1945" s="8"/>
      <c r="AS1945" s="8"/>
      <c r="AT1945" s="8"/>
      <c r="AU1945" s="8"/>
      <c r="AV1945" s="8"/>
      <c r="AW1945" s="8"/>
      <c r="AX1945" s="8"/>
      <c r="AY1945" s="8"/>
      <c r="AZ1945" s="10"/>
    </row>
    <row r="1946" spans="2:52" x14ac:dyDescent="0.35">
      <c r="B1946" s="7"/>
      <c r="C1946" s="8"/>
      <c r="D1946" s="8"/>
      <c r="E1946" s="8"/>
      <c r="F1946" s="8"/>
      <c r="G1946" s="8"/>
      <c r="H1946" s="8"/>
      <c r="I1946" s="8"/>
      <c r="J1946" s="8"/>
      <c r="K1946" s="8"/>
      <c r="L1946" s="8"/>
      <c r="M1946" s="8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8"/>
      <c r="AE1946" s="8"/>
      <c r="AF1946" s="8"/>
      <c r="AG1946" s="8"/>
      <c r="AH1946" s="8"/>
      <c r="AI1946" s="8"/>
      <c r="AJ1946" s="8"/>
      <c r="AK1946" s="8"/>
      <c r="AL1946" s="8"/>
      <c r="AM1946" s="8"/>
      <c r="AN1946" s="8"/>
      <c r="AO1946" s="8"/>
      <c r="AP1946" s="8"/>
      <c r="AQ1946" s="8"/>
      <c r="AR1946" s="8"/>
      <c r="AS1946" s="8"/>
      <c r="AT1946" s="8"/>
      <c r="AU1946" s="8"/>
      <c r="AV1946" s="8"/>
      <c r="AW1946" s="8"/>
      <c r="AX1946" s="8"/>
      <c r="AY1946" s="8"/>
      <c r="AZ1946" s="10"/>
    </row>
    <row r="1947" spans="2:52" x14ac:dyDescent="0.35">
      <c r="B1947" s="7"/>
      <c r="C1947" s="8"/>
      <c r="D1947" s="8"/>
      <c r="E1947" s="8"/>
      <c r="F1947" s="8"/>
      <c r="G1947" s="8"/>
      <c r="H1947" s="8"/>
      <c r="I1947" s="8"/>
      <c r="J1947" s="8"/>
      <c r="K1947" s="8"/>
      <c r="L1947" s="8"/>
      <c r="M1947" s="8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8"/>
      <c r="AE1947" s="8"/>
      <c r="AF1947" s="8"/>
      <c r="AG1947" s="8"/>
      <c r="AH1947" s="8"/>
      <c r="AI1947" s="8"/>
      <c r="AJ1947" s="8"/>
      <c r="AK1947" s="8"/>
      <c r="AL1947" s="8"/>
      <c r="AM1947" s="8"/>
      <c r="AN1947" s="8"/>
      <c r="AO1947" s="8"/>
      <c r="AP1947" s="8"/>
      <c r="AQ1947" s="8"/>
      <c r="AR1947" s="8"/>
      <c r="AS1947" s="8"/>
      <c r="AT1947" s="8"/>
      <c r="AU1947" s="8"/>
      <c r="AV1947" s="8"/>
      <c r="AW1947" s="8"/>
      <c r="AX1947" s="8"/>
      <c r="AY1947" s="8"/>
      <c r="AZ1947" s="10"/>
    </row>
    <row r="1948" spans="2:52" x14ac:dyDescent="0.35">
      <c r="B1948" s="7"/>
      <c r="C1948" s="8"/>
      <c r="D1948" s="8"/>
      <c r="E1948" s="8"/>
      <c r="F1948" s="8"/>
      <c r="G1948" s="8"/>
      <c r="H1948" s="8"/>
      <c r="I1948" s="8"/>
      <c r="J1948" s="8"/>
      <c r="K1948" s="8"/>
      <c r="L1948" s="8"/>
      <c r="M1948" s="8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8"/>
      <c r="AE1948" s="8"/>
      <c r="AF1948" s="8"/>
      <c r="AG1948" s="8"/>
      <c r="AH1948" s="8"/>
      <c r="AI1948" s="8"/>
      <c r="AJ1948" s="8"/>
      <c r="AK1948" s="8"/>
      <c r="AL1948" s="8"/>
      <c r="AM1948" s="8"/>
      <c r="AN1948" s="8"/>
      <c r="AO1948" s="8"/>
      <c r="AP1948" s="8"/>
      <c r="AQ1948" s="8"/>
      <c r="AR1948" s="8"/>
      <c r="AS1948" s="8"/>
      <c r="AT1948" s="8"/>
      <c r="AU1948" s="8"/>
      <c r="AV1948" s="8"/>
      <c r="AW1948" s="8"/>
      <c r="AX1948" s="8"/>
      <c r="AY1948" s="8"/>
      <c r="AZ1948" s="10"/>
    </row>
    <row r="1949" spans="2:52" x14ac:dyDescent="0.35">
      <c r="B1949" s="7"/>
      <c r="C1949" s="8"/>
      <c r="D1949" s="8"/>
      <c r="E1949" s="8"/>
      <c r="F1949" s="8"/>
      <c r="G1949" s="8"/>
      <c r="H1949" s="8"/>
      <c r="I1949" s="8"/>
      <c r="J1949" s="8"/>
      <c r="K1949" s="8"/>
      <c r="L1949" s="8"/>
      <c r="M1949" s="8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  <c r="AD1949" s="8"/>
      <c r="AE1949" s="8"/>
      <c r="AF1949" s="8"/>
      <c r="AG1949" s="8"/>
      <c r="AH1949" s="8"/>
      <c r="AI1949" s="8"/>
      <c r="AJ1949" s="8"/>
      <c r="AK1949" s="8"/>
      <c r="AL1949" s="8"/>
      <c r="AM1949" s="8"/>
      <c r="AN1949" s="8"/>
      <c r="AO1949" s="8"/>
      <c r="AP1949" s="8"/>
      <c r="AQ1949" s="8"/>
      <c r="AR1949" s="8"/>
      <c r="AS1949" s="8"/>
      <c r="AT1949" s="8"/>
      <c r="AU1949" s="8"/>
      <c r="AV1949" s="8"/>
      <c r="AW1949" s="8"/>
      <c r="AX1949" s="8"/>
      <c r="AY1949" s="8"/>
      <c r="AZ1949" s="10"/>
    </row>
    <row r="1950" spans="2:52" x14ac:dyDescent="0.35">
      <c r="B1950" s="7"/>
      <c r="C1950" s="8"/>
      <c r="D1950" s="8"/>
      <c r="E1950" s="8"/>
      <c r="F1950" s="8"/>
      <c r="G1950" s="8"/>
      <c r="H1950" s="8"/>
      <c r="I1950" s="8"/>
      <c r="J1950" s="8"/>
      <c r="K1950" s="8"/>
      <c r="L1950" s="8"/>
      <c r="M1950" s="8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  <c r="AD1950" s="8"/>
      <c r="AE1950" s="8"/>
      <c r="AF1950" s="8"/>
      <c r="AG1950" s="8"/>
      <c r="AH1950" s="8"/>
      <c r="AI1950" s="8"/>
      <c r="AJ1950" s="8"/>
      <c r="AK1950" s="8"/>
      <c r="AL1950" s="8"/>
      <c r="AM1950" s="8"/>
      <c r="AN1950" s="8"/>
      <c r="AO1950" s="8"/>
      <c r="AP1950" s="8"/>
      <c r="AQ1950" s="8"/>
      <c r="AR1950" s="8"/>
      <c r="AS1950" s="8"/>
      <c r="AT1950" s="8"/>
      <c r="AU1950" s="8"/>
      <c r="AV1950" s="8"/>
      <c r="AW1950" s="8"/>
      <c r="AX1950" s="8"/>
      <c r="AY1950" s="8"/>
      <c r="AZ1950" s="10"/>
    </row>
    <row r="1951" spans="2:52" x14ac:dyDescent="0.35">
      <c r="B1951" s="7"/>
      <c r="C1951" s="8"/>
      <c r="D1951" s="8"/>
      <c r="E1951" s="8"/>
      <c r="F1951" s="8"/>
      <c r="G1951" s="8"/>
      <c r="H1951" s="8"/>
      <c r="I1951" s="8"/>
      <c r="J1951" s="8"/>
      <c r="K1951" s="8"/>
      <c r="L1951" s="8"/>
      <c r="M1951" s="8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  <c r="AD1951" s="8"/>
      <c r="AE1951" s="8"/>
      <c r="AF1951" s="8"/>
      <c r="AG1951" s="8"/>
      <c r="AH1951" s="8"/>
      <c r="AI1951" s="8"/>
      <c r="AJ1951" s="8"/>
      <c r="AK1951" s="8"/>
      <c r="AL1951" s="8"/>
      <c r="AM1951" s="8"/>
      <c r="AN1951" s="8"/>
      <c r="AO1951" s="8"/>
      <c r="AP1951" s="8"/>
      <c r="AQ1951" s="8"/>
      <c r="AR1951" s="8"/>
      <c r="AS1951" s="8"/>
      <c r="AT1951" s="8"/>
      <c r="AU1951" s="8"/>
      <c r="AV1951" s="8"/>
      <c r="AW1951" s="8"/>
      <c r="AX1951" s="8"/>
      <c r="AY1951" s="8"/>
      <c r="AZ1951" s="10"/>
    </row>
    <row r="1952" spans="2:52" x14ac:dyDescent="0.35">
      <c r="B1952" s="7"/>
      <c r="C1952" s="8"/>
      <c r="D1952" s="8"/>
      <c r="E1952" s="8"/>
      <c r="F1952" s="8"/>
      <c r="G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8"/>
      <c r="AE1952" s="8"/>
      <c r="AF1952" s="8"/>
      <c r="AG1952" s="8"/>
      <c r="AH1952" s="8"/>
      <c r="AI1952" s="8"/>
      <c r="AJ1952" s="8"/>
      <c r="AK1952" s="8"/>
      <c r="AL1952" s="8"/>
      <c r="AM1952" s="8"/>
      <c r="AN1952" s="8"/>
      <c r="AO1952" s="8"/>
      <c r="AP1952" s="8"/>
      <c r="AQ1952" s="8"/>
      <c r="AR1952" s="8"/>
      <c r="AS1952" s="8"/>
      <c r="AT1952" s="8"/>
      <c r="AU1952" s="8"/>
      <c r="AV1952" s="8"/>
      <c r="AW1952" s="8"/>
      <c r="AX1952" s="8"/>
      <c r="AY1952" s="8"/>
      <c r="AZ1952" s="10"/>
    </row>
    <row r="1953" spans="2:52" x14ac:dyDescent="0.35">
      <c r="B1953" s="7"/>
      <c r="C1953" s="8"/>
      <c r="D1953" s="8"/>
      <c r="E1953" s="8"/>
      <c r="F1953" s="8"/>
      <c r="G1953" s="8"/>
      <c r="H1953" s="8"/>
      <c r="I1953" s="8"/>
      <c r="J1953" s="8"/>
      <c r="K1953" s="8"/>
      <c r="L1953" s="8"/>
      <c r="M1953" s="8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8"/>
      <c r="AE1953" s="8"/>
      <c r="AF1953" s="8"/>
      <c r="AG1953" s="8"/>
      <c r="AH1953" s="8"/>
      <c r="AI1953" s="8"/>
      <c r="AJ1953" s="8"/>
      <c r="AK1953" s="8"/>
      <c r="AL1953" s="8"/>
      <c r="AM1953" s="8"/>
      <c r="AN1953" s="8"/>
      <c r="AO1953" s="8"/>
      <c r="AP1953" s="8"/>
      <c r="AQ1953" s="8"/>
      <c r="AR1953" s="8"/>
      <c r="AS1953" s="8"/>
      <c r="AT1953" s="8"/>
      <c r="AU1953" s="8"/>
      <c r="AV1953" s="8"/>
      <c r="AW1953" s="8"/>
      <c r="AX1953" s="8"/>
      <c r="AY1953" s="8"/>
      <c r="AZ1953" s="10"/>
    </row>
    <row r="1954" spans="2:52" x14ac:dyDescent="0.35">
      <c r="B1954" s="7"/>
      <c r="C1954" s="8"/>
      <c r="D1954" s="8"/>
      <c r="E1954" s="8"/>
      <c r="F1954" s="8"/>
      <c r="G1954" s="8"/>
      <c r="H1954" s="8"/>
      <c r="I1954" s="8"/>
      <c r="J1954" s="8"/>
      <c r="K1954" s="8"/>
      <c r="L1954" s="8"/>
      <c r="M1954" s="8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  <c r="AD1954" s="8"/>
      <c r="AE1954" s="8"/>
      <c r="AF1954" s="8"/>
      <c r="AG1954" s="8"/>
      <c r="AH1954" s="8"/>
      <c r="AI1954" s="8"/>
      <c r="AJ1954" s="8"/>
      <c r="AK1954" s="8"/>
      <c r="AL1954" s="8"/>
      <c r="AM1954" s="8"/>
      <c r="AN1954" s="8"/>
      <c r="AO1954" s="8"/>
      <c r="AP1954" s="8"/>
      <c r="AQ1954" s="8"/>
      <c r="AR1954" s="8"/>
      <c r="AS1954" s="8"/>
      <c r="AT1954" s="8"/>
      <c r="AU1954" s="8"/>
      <c r="AV1954" s="8"/>
      <c r="AW1954" s="8"/>
      <c r="AX1954" s="8"/>
      <c r="AY1954" s="8"/>
      <c r="AZ1954" s="10"/>
    </row>
    <row r="1955" spans="2:52" x14ac:dyDescent="0.35">
      <c r="B1955" s="7"/>
      <c r="C1955" s="8"/>
      <c r="D1955" s="8"/>
      <c r="E1955" s="8"/>
      <c r="F1955" s="8"/>
      <c r="G1955" s="8"/>
      <c r="H1955" s="8"/>
      <c r="I1955" s="8"/>
      <c r="J1955" s="8"/>
      <c r="K1955" s="8"/>
      <c r="L1955" s="8"/>
      <c r="M1955" s="8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  <c r="AD1955" s="8"/>
      <c r="AE1955" s="8"/>
      <c r="AF1955" s="8"/>
      <c r="AG1955" s="8"/>
      <c r="AH1955" s="8"/>
      <c r="AI1955" s="8"/>
      <c r="AJ1955" s="8"/>
      <c r="AK1955" s="8"/>
      <c r="AL1955" s="8"/>
      <c r="AM1955" s="8"/>
      <c r="AN1955" s="8"/>
      <c r="AO1955" s="8"/>
      <c r="AP1955" s="8"/>
      <c r="AQ1955" s="8"/>
      <c r="AR1955" s="8"/>
      <c r="AS1955" s="8"/>
      <c r="AT1955" s="8"/>
      <c r="AU1955" s="8"/>
      <c r="AV1955" s="8"/>
      <c r="AW1955" s="8"/>
      <c r="AX1955" s="8"/>
      <c r="AY1955" s="8"/>
      <c r="AZ1955" s="10"/>
    </row>
    <row r="1956" spans="2:52" x14ac:dyDescent="0.35">
      <c r="B1956" s="7"/>
      <c r="C1956" s="8"/>
      <c r="D1956" s="8"/>
      <c r="E1956" s="8"/>
      <c r="F1956" s="8"/>
      <c r="G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  <c r="AD1956" s="8"/>
      <c r="AE1956" s="8"/>
      <c r="AF1956" s="8"/>
      <c r="AG1956" s="8"/>
      <c r="AH1956" s="8"/>
      <c r="AI1956" s="8"/>
      <c r="AJ1956" s="8"/>
      <c r="AK1956" s="8"/>
      <c r="AL1956" s="8"/>
      <c r="AM1956" s="8"/>
      <c r="AN1956" s="8"/>
      <c r="AO1956" s="8"/>
      <c r="AP1956" s="8"/>
      <c r="AQ1956" s="8"/>
      <c r="AR1956" s="8"/>
      <c r="AS1956" s="8"/>
      <c r="AT1956" s="8"/>
      <c r="AU1956" s="8"/>
      <c r="AV1956" s="8"/>
      <c r="AW1956" s="8"/>
      <c r="AX1956" s="8"/>
      <c r="AY1956" s="8"/>
      <c r="AZ1956" s="10"/>
    </row>
    <row r="1957" spans="2:52" x14ac:dyDescent="0.35">
      <c r="B1957" s="7"/>
      <c r="C1957" s="8"/>
      <c r="D1957" s="8"/>
      <c r="E1957" s="8"/>
      <c r="F1957" s="8"/>
      <c r="G1957" s="8"/>
      <c r="H1957" s="8"/>
      <c r="I1957" s="8"/>
      <c r="J1957" s="8"/>
      <c r="K1957" s="8"/>
      <c r="L1957" s="8"/>
      <c r="M1957" s="8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  <c r="AD1957" s="8"/>
      <c r="AE1957" s="8"/>
      <c r="AF1957" s="8"/>
      <c r="AG1957" s="8"/>
      <c r="AH1957" s="8"/>
      <c r="AI1957" s="8"/>
      <c r="AJ1957" s="8"/>
      <c r="AK1957" s="8"/>
      <c r="AL1957" s="8"/>
      <c r="AM1957" s="8"/>
      <c r="AN1957" s="8"/>
      <c r="AO1957" s="8"/>
      <c r="AP1957" s="8"/>
      <c r="AQ1957" s="8"/>
      <c r="AR1957" s="8"/>
      <c r="AS1957" s="8"/>
      <c r="AT1957" s="8"/>
      <c r="AU1957" s="8"/>
      <c r="AV1957" s="8"/>
      <c r="AW1957" s="8"/>
      <c r="AX1957" s="8"/>
      <c r="AY1957" s="8"/>
      <c r="AZ1957" s="10"/>
    </row>
    <row r="1958" spans="2:52" x14ac:dyDescent="0.35">
      <c r="B1958" s="7"/>
      <c r="C1958" s="8"/>
      <c r="D1958" s="8"/>
      <c r="E1958" s="8"/>
      <c r="F1958" s="8"/>
      <c r="G1958" s="8"/>
      <c r="H1958" s="8"/>
      <c r="I1958" s="8"/>
      <c r="J1958" s="8"/>
      <c r="K1958" s="8"/>
      <c r="L1958" s="8"/>
      <c r="M1958" s="8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  <c r="AD1958" s="8"/>
      <c r="AE1958" s="8"/>
      <c r="AF1958" s="8"/>
      <c r="AG1958" s="8"/>
      <c r="AH1958" s="8"/>
      <c r="AI1958" s="8"/>
      <c r="AJ1958" s="8"/>
      <c r="AK1958" s="8"/>
      <c r="AL1958" s="8"/>
      <c r="AM1958" s="8"/>
      <c r="AN1958" s="8"/>
      <c r="AO1958" s="8"/>
      <c r="AP1958" s="8"/>
      <c r="AQ1958" s="8"/>
      <c r="AR1958" s="8"/>
      <c r="AS1958" s="8"/>
      <c r="AT1958" s="8"/>
      <c r="AU1958" s="8"/>
      <c r="AV1958" s="8"/>
      <c r="AW1958" s="8"/>
      <c r="AX1958" s="8"/>
      <c r="AY1958" s="8"/>
      <c r="AZ1958" s="10"/>
    </row>
    <row r="1959" spans="2:52" x14ac:dyDescent="0.35">
      <c r="B1959" s="7"/>
      <c r="C1959" s="8"/>
      <c r="D1959" s="8"/>
      <c r="E1959" s="8"/>
      <c r="F1959" s="8"/>
      <c r="G1959" s="8"/>
      <c r="H1959" s="8"/>
      <c r="I1959" s="8"/>
      <c r="J1959" s="8"/>
      <c r="K1959" s="8"/>
      <c r="L1959" s="8"/>
      <c r="M1959" s="8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  <c r="AD1959" s="8"/>
      <c r="AE1959" s="8"/>
      <c r="AF1959" s="8"/>
      <c r="AG1959" s="8"/>
      <c r="AH1959" s="8"/>
      <c r="AI1959" s="8"/>
      <c r="AJ1959" s="8"/>
      <c r="AK1959" s="8"/>
      <c r="AL1959" s="8"/>
      <c r="AM1959" s="8"/>
      <c r="AN1959" s="8"/>
      <c r="AO1959" s="8"/>
      <c r="AP1959" s="8"/>
      <c r="AQ1959" s="8"/>
      <c r="AR1959" s="8"/>
      <c r="AS1959" s="8"/>
      <c r="AT1959" s="8"/>
      <c r="AU1959" s="8"/>
      <c r="AV1959" s="8"/>
      <c r="AW1959" s="8"/>
      <c r="AX1959" s="8"/>
      <c r="AY1959" s="8"/>
      <c r="AZ1959" s="10"/>
    </row>
    <row r="1960" spans="2:52" x14ac:dyDescent="0.35">
      <c r="B1960" s="7"/>
      <c r="C1960" s="8"/>
      <c r="D1960" s="8"/>
      <c r="E1960" s="8"/>
      <c r="F1960" s="8"/>
      <c r="G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  <c r="AD1960" s="8"/>
      <c r="AE1960" s="8"/>
      <c r="AF1960" s="8"/>
      <c r="AG1960" s="8"/>
      <c r="AH1960" s="8"/>
      <c r="AI1960" s="8"/>
      <c r="AJ1960" s="8"/>
      <c r="AK1960" s="8"/>
      <c r="AL1960" s="8"/>
      <c r="AM1960" s="8"/>
      <c r="AN1960" s="8"/>
      <c r="AO1960" s="8"/>
      <c r="AP1960" s="8"/>
      <c r="AQ1960" s="8"/>
      <c r="AR1960" s="8"/>
      <c r="AS1960" s="8"/>
      <c r="AT1960" s="8"/>
      <c r="AU1960" s="8"/>
      <c r="AV1960" s="8"/>
      <c r="AW1960" s="8"/>
      <c r="AX1960" s="8"/>
      <c r="AY1960" s="8"/>
      <c r="AZ1960" s="10"/>
    </row>
    <row r="1961" spans="2:52" x14ac:dyDescent="0.35">
      <c r="B1961" s="7"/>
      <c r="C1961" s="8"/>
      <c r="D1961" s="8"/>
      <c r="E1961" s="8"/>
      <c r="F1961" s="8"/>
      <c r="G1961" s="8"/>
      <c r="H1961" s="8"/>
      <c r="I1961" s="8"/>
      <c r="J1961" s="8"/>
      <c r="K1961" s="8"/>
      <c r="L1961" s="8"/>
      <c r="M1961" s="8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  <c r="AD1961" s="8"/>
      <c r="AE1961" s="8"/>
      <c r="AF1961" s="8"/>
      <c r="AG1961" s="8"/>
      <c r="AH1961" s="8"/>
      <c r="AI1961" s="8"/>
      <c r="AJ1961" s="8"/>
      <c r="AK1961" s="8"/>
      <c r="AL1961" s="8"/>
      <c r="AM1961" s="8"/>
      <c r="AN1961" s="8"/>
      <c r="AO1961" s="8"/>
      <c r="AP1961" s="8"/>
      <c r="AQ1961" s="8"/>
      <c r="AR1961" s="8"/>
      <c r="AS1961" s="8"/>
      <c r="AT1961" s="8"/>
      <c r="AU1961" s="8"/>
      <c r="AV1961" s="8"/>
      <c r="AW1961" s="8"/>
      <c r="AX1961" s="8"/>
      <c r="AY1961" s="8"/>
      <c r="AZ1961" s="10"/>
    </row>
    <row r="1962" spans="2:52" x14ac:dyDescent="0.35">
      <c r="B1962" s="7"/>
      <c r="C1962" s="8"/>
      <c r="D1962" s="8"/>
      <c r="E1962" s="8"/>
      <c r="F1962" s="8"/>
      <c r="G1962" s="8"/>
      <c r="H1962" s="8"/>
      <c r="I1962" s="8"/>
      <c r="J1962" s="8"/>
      <c r="K1962" s="8"/>
      <c r="L1962" s="8"/>
      <c r="M1962" s="8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  <c r="AD1962" s="8"/>
      <c r="AE1962" s="8"/>
      <c r="AF1962" s="8"/>
      <c r="AG1962" s="8"/>
      <c r="AH1962" s="8"/>
      <c r="AI1962" s="8"/>
      <c r="AJ1962" s="8"/>
      <c r="AK1962" s="8"/>
      <c r="AL1962" s="8"/>
      <c r="AM1962" s="8"/>
      <c r="AN1962" s="8"/>
      <c r="AO1962" s="8"/>
      <c r="AP1962" s="8"/>
      <c r="AQ1962" s="8"/>
      <c r="AR1962" s="8"/>
      <c r="AS1962" s="8"/>
      <c r="AT1962" s="8"/>
      <c r="AU1962" s="8"/>
      <c r="AV1962" s="8"/>
      <c r="AW1962" s="8"/>
      <c r="AX1962" s="8"/>
      <c r="AY1962" s="8"/>
      <c r="AZ1962" s="10"/>
    </row>
    <row r="1963" spans="2:52" x14ac:dyDescent="0.35">
      <c r="B1963" s="7"/>
      <c r="C1963" s="8"/>
      <c r="D1963" s="8"/>
      <c r="E1963" s="8"/>
      <c r="F1963" s="8"/>
      <c r="G1963" s="8"/>
      <c r="H1963" s="8"/>
      <c r="I1963" s="8"/>
      <c r="J1963" s="8"/>
      <c r="K1963" s="8"/>
      <c r="L1963" s="8"/>
      <c r="M1963" s="8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  <c r="AD1963" s="8"/>
      <c r="AE1963" s="8"/>
      <c r="AF1963" s="8"/>
      <c r="AG1963" s="8"/>
      <c r="AH1963" s="8"/>
      <c r="AI1963" s="8"/>
      <c r="AJ1963" s="8"/>
      <c r="AK1963" s="8"/>
      <c r="AL1963" s="8"/>
      <c r="AM1963" s="8"/>
      <c r="AN1963" s="8"/>
      <c r="AO1963" s="8"/>
      <c r="AP1963" s="8"/>
      <c r="AQ1963" s="8"/>
      <c r="AR1963" s="8"/>
      <c r="AS1963" s="8"/>
      <c r="AT1963" s="8"/>
      <c r="AU1963" s="8"/>
      <c r="AV1963" s="8"/>
      <c r="AW1963" s="8"/>
      <c r="AX1963" s="8"/>
      <c r="AY1963" s="8"/>
      <c r="AZ1963" s="10"/>
    </row>
    <row r="1964" spans="2:52" x14ac:dyDescent="0.35">
      <c r="B1964" s="7"/>
      <c r="C1964" s="8"/>
      <c r="D1964" s="8"/>
      <c r="E1964" s="8"/>
      <c r="F1964" s="8"/>
      <c r="G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  <c r="AD1964" s="8"/>
      <c r="AE1964" s="8"/>
      <c r="AF1964" s="8"/>
      <c r="AG1964" s="8"/>
      <c r="AH1964" s="8"/>
      <c r="AI1964" s="8"/>
      <c r="AJ1964" s="8"/>
      <c r="AK1964" s="8"/>
      <c r="AL1964" s="8"/>
      <c r="AM1964" s="8"/>
      <c r="AN1964" s="8"/>
      <c r="AO1964" s="8"/>
      <c r="AP1964" s="8"/>
      <c r="AQ1964" s="8"/>
      <c r="AR1964" s="8"/>
      <c r="AS1964" s="8"/>
      <c r="AT1964" s="8"/>
      <c r="AU1964" s="8"/>
      <c r="AV1964" s="8"/>
      <c r="AW1964" s="8"/>
      <c r="AX1964" s="8"/>
      <c r="AY1964" s="8"/>
      <c r="AZ1964" s="10"/>
    </row>
    <row r="1965" spans="2:52" x14ac:dyDescent="0.35">
      <c r="B1965" s="7"/>
      <c r="C1965" s="8"/>
      <c r="D1965" s="8"/>
      <c r="E1965" s="8"/>
      <c r="F1965" s="8"/>
      <c r="G1965" s="8"/>
      <c r="H1965" s="8"/>
      <c r="I1965" s="8"/>
      <c r="J1965" s="8"/>
      <c r="K1965" s="8"/>
      <c r="L1965" s="8"/>
      <c r="M1965" s="8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  <c r="AD1965" s="8"/>
      <c r="AE1965" s="8"/>
      <c r="AF1965" s="8"/>
      <c r="AG1965" s="8"/>
      <c r="AH1965" s="8"/>
      <c r="AI1965" s="8"/>
      <c r="AJ1965" s="8"/>
      <c r="AK1965" s="8"/>
      <c r="AL1965" s="8"/>
      <c r="AM1965" s="8"/>
      <c r="AN1965" s="8"/>
      <c r="AO1965" s="8"/>
      <c r="AP1965" s="8"/>
      <c r="AQ1965" s="8"/>
      <c r="AR1965" s="8"/>
      <c r="AS1965" s="8"/>
      <c r="AT1965" s="8"/>
      <c r="AU1965" s="8"/>
      <c r="AV1965" s="8"/>
      <c r="AW1965" s="8"/>
      <c r="AX1965" s="8"/>
      <c r="AY1965" s="8"/>
      <c r="AZ1965" s="10"/>
    </row>
    <row r="1966" spans="2:52" x14ac:dyDescent="0.35">
      <c r="B1966" s="7"/>
      <c r="C1966" s="8"/>
      <c r="D1966" s="8"/>
      <c r="E1966" s="8"/>
      <c r="F1966" s="8"/>
      <c r="G1966" s="8"/>
      <c r="H1966" s="8"/>
      <c r="I1966" s="8"/>
      <c r="J1966" s="8"/>
      <c r="K1966" s="8"/>
      <c r="L1966" s="8"/>
      <c r="M1966" s="8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8"/>
      <c r="AE1966" s="8"/>
      <c r="AF1966" s="8"/>
      <c r="AG1966" s="8"/>
      <c r="AH1966" s="8"/>
      <c r="AI1966" s="8"/>
      <c r="AJ1966" s="8"/>
      <c r="AK1966" s="8"/>
      <c r="AL1966" s="8"/>
      <c r="AM1966" s="8"/>
      <c r="AN1966" s="8"/>
      <c r="AO1966" s="8"/>
      <c r="AP1966" s="8"/>
      <c r="AQ1966" s="8"/>
      <c r="AR1966" s="8"/>
      <c r="AS1966" s="8"/>
      <c r="AT1966" s="8"/>
      <c r="AU1966" s="8"/>
      <c r="AV1966" s="8"/>
      <c r="AW1966" s="8"/>
      <c r="AX1966" s="8"/>
      <c r="AY1966" s="8"/>
      <c r="AZ1966" s="10"/>
    </row>
    <row r="1967" spans="2:52" x14ac:dyDescent="0.35">
      <c r="B1967" s="7"/>
      <c r="C1967" s="8"/>
      <c r="D1967" s="8"/>
      <c r="E1967" s="8"/>
      <c r="F1967" s="8"/>
      <c r="G1967" s="8"/>
      <c r="H1967" s="8"/>
      <c r="I1967" s="8"/>
      <c r="J1967" s="8"/>
      <c r="K1967" s="8"/>
      <c r="L1967" s="8"/>
      <c r="M1967" s="8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  <c r="AD1967" s="8"/>
      <c r="AE1967" s="8"/>
      <c r="AF1967" s="8"/>
      <c r="AG1967" s="8"/>
      <c r="AH1967" s="8"/>
      <c r="AI1967" s="8"/>
      <c r="AJ1967" s="8"/>
      <c r="AK1967" s="8"/>
      <c r="AL1967" s="8"/>
      <c r="AM1967" s="8"/>
      <c r="AN1967" s="8"/>
      <c r="AO1967" s="8"/>
      <c r="AP1967" s="8"/>
      <c r="AQ1967" s="8"/>
      <c r="AR1967" s="8"/>
      <c r="AS1967" s="8"/>
      <c r="AT1967" s="8"/>
      <c r="AU1967" s="8"/>
      <c r="AV1967" s="8"/>
      <c r="AW1967" s="8"/>
      <c r="AX1967" s="8"/>
      <c r="AY1967" s="8"/>
      <c r="AZ1967" s="10"/>
    </row>
    <row r="1968" spans="2:52" x14ac:dyDescent="0.35">
      <c r="B1968" s="7"/>
      <c r="C1968" s="8"/>
      <c r="D1968" s="8"/>
      <c r="E1968" s="8"/>
      <c r="F1968" s="8"/>
      <c r="G1968" s="8"/>
      <c r="H1968" s="8"/>
      <c r="I1968" s="8"/>
      <c r="J1968" s="8"/>
      <c r="K1968" s="8"/>
      <c r="L1968" s="8"/>
      <c r="M1968" s="8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  <c r="AD1968" s="8"/>
      <c r="AE1968" s="8"/>
      <c r="AF1968" s="8"/>
      <c r="AG1968" s="8"/>
      <c r="AH1968" s="8"/>
      <c r="AI1968" s="8"/>
      <c r="AJ1968" s="8"/>
      <c r="AK1968" s="8"/>
      <c r="AL1968" s="8"/>
      <c r="AM1968" s="8"/>
      <c r="AN1968" s="8"/>
      <c r="AO1968" s="8"/>
      <c r="AP1968" s="8"/>
      <c r="AQ1968" s="8"/>
      <c r="AR1968" s="8"/>
      <c r="AS1968" s="8"/>
      <c r="AT1968" s="8"/>
      <c r="AU1968" s="8"/>
      <c r="AV1968" s="8"/>
      <c r="AW1968" s="8"/>
      <c r="AX1968" s="8"/>
      <c r="AY1968" s="8"/>
      <c r="AZ1968" s="10"/>
    </row>
    <row r="1969" spans="2:52" x14ac:dyDescent="0.35">
      <c r="B1969" s="7"/>
      <c r="C1969" s="8"/>
      <c r="D1969" s="8"/>
      <c r="E1969" s="8"/>
      <c r="F1969" s="8"/>
      <c r="G1969" s="8"/>
      <c r="H1969" s="8"/>
      <c r="I1969" s="8"/>
      <c r="J1969" s="8"/>
      <c r="K1969" s="8"/>
      <c r="L1969" s="8"/>
      <c r="M1969" s="8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  <c r="AG1969" s="8"/>
      <c r="AH1969" s="8"/>
      <c r="AI1969" s="8"/>
      <c r="AJ1969" s="8"/>
      <c r="AK1969" s="8"/>
      <c r="AL1969" s="8"/>
      <c r="AM1969" s="8"/>
      <c r="AN1969" s="8"/>
      <c r="AO1969" s="8"/>
      <c r="AP1969" s="8"/>
      <c r="AQ1969" s="8"/>
      <c r="AR1969" s="8"/>
      <c r="AS1969" s="8"/>
      <c r="AT1969" s="8"/>
      <c r="AU1969" s="8"/>
      <c r="AV1969" s="8"/>
      <c r="AW1969" s="8"/>
      <c r="AX1969" s="8"/>
      <c r="AY1969" s="8"/>
      <c r="AZ1969" s="10"/>
    </row>
    <row r="1970" spans="2:52" x14ac:dyDescent="0.35">
      <c r="B1970" s="7"/>
      <c r="C1970" s="8"/>
      <c r="D1970" s="8"/>
      <c r="E1970" s="8"/>
      <c r="F1970" s="8"/>
      <c r="G1970" s="8"/>
      <c r="H1970" s="8"/>
      <c r="I1970" s="8"/>
      <c r="J1970" s="8"/>
      <c r="K1970" s="8"/>
      <c r="L1970" s="8"/>
      <c r="M1970" s="8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  <c r="AG1970" s="8"/>
      <c r="AH1970" s="8"/>
      <c r="AI1970" s="8"/>
      <c r="AJ1970" s="8"/>
      <c r="AK1970" s="8"/>
      <c r="AL1970" s="8"/>
      <c r="AM1970" s="8"/>
      <c r="AN1970" s="8"/>
      <c r="AO1970" s="8"/>
      <c r="AP1970" s="8"/>
      <c r="AQ1970" s="8"/>
      <c r="AR1970" s="8"/>
      <c r="AS1970" s="8"/>
      <c r="AT1970" s="8"/>
      <c r="AU1970" s="8"/>
      <c r="AV1970" s="8"/>
      <c r="AW1970" s="8"/>
      <c r="AX1970" s="8"/>
      <c r="AY1970" s="8"/>
      <c r="AZ1970" s="10"/>
    </row>
    <row r="1971" spans="2:52" x14ac:dyDescent="0.35">
      <c r="B1971" s="7"/>
      <c r="C1971" s="8"/>
      <c r="D1971" s="8"/>
      <c r="E1971" s="8"/>
      <c r="F1971" s="8"/>
      <c r="G1971" s="8"/>
      <c r="H1971" s="8"/>
      <c r="I1971" s="8"/>
      <c r="J1971" s="8"/>
      <c r="K1971" s="8"/>
      <c r="L1971" s="8"/>
      <c r="M1971" s="8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  <c r="AG1971" s="8"/>
      <c r="AH1971" s="8"/>
      <c r="AI1971" s="8"/>
      <c r="AJ1971" s="8"/>
      <c r="AK1971" s="8"/>
      <c r="AL1971" s="8"/>
      <c r="AM1971" s="8"/>
      <c r="AN1971" s="8"/>
      <c r="AO1971" s="8"/>
      <c r="AP1971" s="8"/>
      <c r="AQ1971" s="8"/>
      <c r="AR1971" s="8"/>
      <c r="AS1971" s="8"/>
      <c r="AT1971" s="8"/>
      <c r="AU1971" s="8"/>
      <c r="AV1971" s="8"/>
      <c r="AW1971" s="8"/>
      <c r="AX1971" s="8"/>
      <c r="AY1971" s="8"/>
      <c r="AZ1971" s="10"/>
    </row>
    <row r="1972" spans="2:52" x14ac:dyDescent="0.35">
      <c r="B1972" s="7"/>
      <c r="C1972" s="8"/>
      <c r="D1972" s="8"/>
      <c r="E1972" s="8"/>
      <c r="F1972" s="8"/>
      <c r="G1972" s="8"/>
      <c r="H1972" s="8"/>
      <c r="I1972" s="8"/>
      <c r="J1972" s="8"/>
      <c r="K1972" s="8"/>
      <c r="L1972" s="8"/>
      <c r="M1972" s="8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  <c r="AG1972" s="8"/>
      <c r="AH1972" s="8"/>
      <c r="AI1972" s="8"/>
      <c r="AJ1972" s="8"/>
      <c r="AK1972" s="8"/>
      <c r="AL1972" s="8"/>
      <c r="AM1972" s="8"/>
      <c r="AN1972" s="8"/>
      <c r="AO1972" s="8"/>
      <c r="AP1972" s="8"/>
      <c r="AQ1972" s="8"/>
      <c r="AR1972" s="8"/>
      <c r="AS1972" s="8"/>
      <c r="AT1972" s="8"/>
      <c r="AU1972" s="8"/>
      <c r="AV1972" s="8"/>
      <c r="AW1972" s="8"/>
      <c r="AX1972" s="8"/>
      <c r="AY1972" s="8"/>
      <c r="AZ1972" s="10"/>
    </row>
    <row r="1973" spans="2:52" x14ac:dyDescent="0.35">
      <c r="B1973" s="7"/>
      <c r="C1973" s="8"/>
      <c r="D1973" s="8"/>
      <c r="E1973" s="8"/>
      <c r="F1973" s="8"/>
      <c r="G1973" s="8"/>
      <c r="H1973" s="8"/>
      <c r="I1973" s="8"/>
      <c r="J1973" s="8"/>
      <c r="K1973" s="8"/>
      <c r="L1973" s="8"/>
      <c r="M1973" s="8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  <c r="AG1973" s="8"/>
      <c r="AH1973" s="8"/>
      <c r="AI1973" s="8"/>
      <c r="AJ1973" s="8"/>
      <c r="AK1973" s="8"/>
      <c r="AL1973" s="8"/>
      <c r="AM1973" s="8"/>
      <c r="AN1973" s="8"/>
      <c r="AO1973" s="8"/>
      <c r="AP1973" s="8"/>
      <c r="AQ1973" s="8"/>
      <c r="AR1973" s="8"/>
      <c r="AS1973" s="8"/>
      <c r="AT1973" s="8"/>
      <c r="AU1973" s="8"/>
      <c r="AV1973" s="8"/>
      <c r="AW1973" s="8"/>
      <c r="AX1973" s="8"/>
      <c r="AY1973" s="8"/>
      <c r="AZ1973" s="10"/>
    </row>
    <row r="1974" spans="2:52" x14ac:dyDescent="0.35">
      <c r="B1974" s="7"/>
      <c r="C1974" s="8"/>
      <c r="D1974" s="8"/>
      <c r="E1974" s="8"/>
      <c r="F1974" s="8"/>
      <c r="G1974" s="8"/>
      <c r="H1974" s="8"/>
      <c r="I1974" s="8"/>
      <c r="J1974" s="8"/>
      <c r="K1974" s="8"/>
      <c r="L1974" s="8"/>
      <c r="M1974" s="8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  <c r="AD1974" s="8"/>
      <c r="AE1974" s="8"/>
      <c r="AF1974" s="8"/>
      <c r="AG1974" s="8"/>
      <c r="AH1974" s="8"/>
      <c r="AI1974" s="8"/>
      <c r="AJ1974" s="8"/>
      <c r="AK1974" s="8"/>
      <c r="AL1974" s="8"/>
      <c r="AM1974" s="8"/>
      <c r="AN1974" s="8"/>
      <c r="AO1974" s="8"/>
      <c r="AP1974" s="8"/>
      <c r="AQ1974" s="8"/>
      <c r="AR1974" s="8"/>
      <c r="AS1974" s="8"/>
      <c r="AT1974" s="8"/>
      <c r="AU1974" s="8"/>
      <c r="AV1974" s="8"/>
      <c r="AW1974" s="8"/>
      <c r="AX1974" s="8"/>
      <c r="AY1974" s="8"/>
      <c r="AZ1974" s="10"/>
    </row>
    <row r="1975" spans="2:52" x14ac:dyDescent="0.35">
      <c r="B1975" s="7"/>
      <c r="C1975" s="8"/>
      <c r="D1975" s="8"/>
      <c r="E1975" s="8"/>
      <c r="F1975" s="8"/>
      <c r="G1975" s="8"/>
      <c r="H1975" s="8"/>
      <c r="I1975" s="8"/>
      <c r="J1975" s="8"/>
      <c r="K1975" s="8"/>
      <c r="L1975" s="8"/>
      <c r="M1975" s="8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  <c r="AD1975" s="8"/>
      <c r="AE1975" s="8"/>
      <c r="AF1975" s="8"/>
      <c r="AG1975" s="8"/>
      <c r="AH1975" s="8"/>
      <c r="AI1975" s="8"/>
      <c r="AJ1975" s="8"/>
      <c r="AK1975" s="8"/>
      <c r="AL1975" s="8"/>
      <c r="AM1975" s="8"/>
      <c r="AN1975" s="8"/>
      <c r="AO1975" s="8"/>
      <c r="AP1975" s="8"/>
      <c r="AQ1975" s="8"/>
      <c r="AR1975" s="8"/>
      <c r="AS1975" s="8"/>
      <c r="AT1975" s="8"/>
      <c r="AU1975" s="8"/>
      <c r="AV1975" s="8"/>
      <c r="AW1975" s="8"/>
      <c r="AX1975" s="8"/>
      <c r="AY1975" s="8"/>
      <c r="AZ1975" s="10"/>
    </row>
    <row r="1976" spans="2:52" x14ac:dyDescent="0.35">
      <c r="B1976" s="7"/>
      <c r="C1976" s="8"/>
      <c r="D1976" s="8"/>
      <c r="E1976" s="8"/>
      <c r="F1976" s="8"/>
      <c r="G1976" s="8"/>
      <c r="H1976" s="8"/>
      <c r="I1976" s="8"/>
      <c r="J1976" s="8"/>
      <c r="K1976" s="8"/>
      <c r="L1976" s="8"/>
      <c r="M1976" s="8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  <c r="AD1976" s="8"/>
      <c r="AE1976" s="8"/>
      <c r="AF1976" s="8"/>
      <c r="AG1976" s="8"/>
      <c r="AH1976" s="8"/>
      <c r="AI1976" s="8"/>
      <c r="AJ1976" s="8"/>
      <c r="AK1976" s="8"/>
      <c r="AL1976" s="8"/>
      <c r="AM1976" s="8"/>
      <c r="AN1976" s="8"/>
      <c r="AO1976" s="8"/>
      <c r="AP1976" s="8"/>
      <c r="AQ1976" s="8"/>
      <c r="AR1976" s="8"/>
      <c r="AS1976" s="8"/>
      <c r="AT1976" s="8"/>
      <c r="AU1976" s="8"/>
      <c r="AV1976" s="8"/>
      <c r="AW1976" s="8"/>
      <c r="AX1976" s="8"/>
      <c r="AY1976" s="8"/>
      <c r="AZ1976" s="10"/>
    </row>
    <row r="1977" spans="2:52" x14ac:dyDescent="0.35">
      <c r="B1977" s="7"/>
      <c r="C1977" s="8"/>
      <c r="D1977" s="8"/>
      <c r="E1977" s="8"/>
      <c r="F1977" s="8"/>
      <c r="G1977" s="8"/>
      <c r="H1977" s="8"/>
      <c r="I1977" s="8"/>
      <c r="J1977" s="8"/>
      <c r="K1977" s="8"/>
      <c r="L1977" s="8"/>
      <c r="M1977" s="8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  <c r="AD1977" s="8"/>
      <c r="AE1977" s="8"/>
      <c r="AF1977" s="8"/>
      <c r="AG1977" s="8"/>
      <c r="AH1977" s="8"/>
      <c r="AI1977" s="8"/>
      <c r="AJ1977" s="8"/>
      <c r="AK1977" s="8"/>
      <c r="AL1977" s="8"/>
      <c r="AM1977" s="8"/>
      <c r="AN1977" s="8"/>
      <c r="AO1977" s="8"/>
      <c r="AP1977" s="8"/>
      <c r="AQ1977" s="8"/>
      <c r="AR1977" s="8"/>
      <c r="AS1977" s="8"/>
      <c r="AT1977" s="8"/>
      <c r="AU1977" s="8"/>
      <c r="AV1977" s="8"/>
      <c r="AW1977" s="8"/>
      <c r="AX1977" s="8"/>
      <c r="AY1977" s="8"/>
      <c r="AZ1977" s="10"/>
    </row>
    <row r="1978" spans="2:52" x14ac:dyDescent="0.35">
      <c r="B1978" s="7"/>
      <c r="C1978" s="8"/>
      <c r="D1978" s="8"/>
      <c r="E1978" s="8"/>
      <c r="F1978" s="8"/>
      <c r="G1978" s="8"/>
      <c r="H1978" s="8"/>
      <c r="I1978" s="8"/>
      <c r="J1978" s="8"/>
      <c r="K1978" s="8"/>
      <c r="L1978" s="8"/>
      <c r="M1978" s="8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  <c r="AD1978" s="8"/>
      <c r="AE1978" s="8"/>
      <c r="AF1978" s="8"/>
      <c r="AG1978" s="8"/>
      <c r="AH1978" s="8"/>
      <c r="AI1978" s="8"/>
      <c r="AJ1978" s="8"/>
      <c r="AK1978" s="8"/>
      <c r="AL1978" s="8"/>
      <c r="AM1978" s="8"/>
      <c r="AN1978" s="8"/>
      <c r="AO1978" s="8"/>
      <c r="AP1978" s="8"/>
      <c r="AQ1978" s="8"/>
      <c r="AR1978" s="8"/>
      <c r="AS1978" s="8"/>
      <c r="AT1978" s="8"/>
      <c r="AU1978" s="8"/>
      <c r="AV1978" s="8"/>
      <c r="AW1978" s="8"/>
      <c r="AX1978" s="8"/>
      <c r="AY1978" s="8"/>
      <c r="AZ1978" s="10"/>
    </row>
    <row r="1979" spans="2:52" x14ac:dyDescent="0.35">
      <c r="B1979" s="7"/>
      <c r="C1979" s="8"/>
      <c r="D1979" s="8"/>
      <c r="E1979" s="8"/>
      <c r="F1979" s="8"/>
      <c r="G1979" s="8"/>
      <c r="H1979" s="8"/>
      <c r="I1979" s="8"/>
      <c r="J1979" s="8"/>
      <c r="K1979" s="8"/>
      <c r="L1979" s="8"/>
      <c r="M1979" s="8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  <c r="AD1979" s="8"/>
      <c r="AE1979" s="8"/>
      <c r="AF1979" s="8"/>
      <c r="AG1979" s="8"/>
      <c r="AH1979" s="8"/>
      <c r="AI1979" s="8"/>
      <c r="AJ1979" s="8"/>
      <c r="AK1979" s="8"/>
      <c r="AL1979" s="8"/>
      <c r="AM1979" s="8"/>
      <c r="AN1979" s="8"/>
      <c r="AO1979" s="8"/>
      <c r="AP1979" s="8"/>
      <c r="AQ1979" s="8"/>
      <c r="AR1979" s="8"/>
      <c r="AS1979" s="8"/>
      <c r="AT1979" s="8"/>
      <c r="AU1979" s="8"/>
      <c r="AV1979" s="8"/>
      <c r="AW1979" s="8"/>
      <c r="AX1979" s="8"/>
      <c r="AY1979" s="8"/>
      <c r="AZ1979" s="10"/>
    </row>
    <row r="1980" spans="2:52" x14ac:dyDescent="0.35">
      <c r="B1980" s="7"/>
      <c r="C1980" s="8"/>
      <c r="D1980" s="8"/>
      <c r="E1980" s="8"/>
      <c r="F1980" s="8"/>
      <c r="G1980" s="8"/>
      <c r="H1980" s="8"/>
      <c r="I1980" s="8"/>
      <c r="J1980" s="8"/>
      <c r="K1980" s="8"/>
      <c r="L1980" s="8"/>
      <c r="M1980" s="8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  <c r="AD1980" s="8"/>
      <c r="AE1980" s="8"/>
      <c r="AF1980" s="8"/>
      <c r="AG1980" s="8"/>
      <c r="AH1980" s="8"/>
      <c r="AI1980" s="8"/>
      <c r="AJ1980" s="8"/>
      <c r="AK1980" s="8"/>
      <c r="AL1980" s="8"/>
      <c r="AM1980" s="8"/>
      <c r="AN1980" s="8"/>
      <c r="AO1980" s="8"/>
      <c r="AP1980" s="8"/>
      <c r="AQ1980" s="8"/>
      <c r="AR1980" s="8"/>
      <c r="AS1980" s="8"/>
      <c r="AT1980" s="8"/>
      <c r="AU1980" s="8"/>
      <c r="AV1980" s="8"/>
      <c r="AW1980" s="8"/>
      <c r="AX1980" s="8"/>
      <c r="AY1980" s="8"/>
      <c r="AZ1980" s="10"/>
    </row>
    <row r="1981" spans="2:52" x14ac:dyDescent="0.35">
      <c r="B1981" s="7"/>
      <c r="C1981" s="8"/>
      <c r="D1981" s="8"/>
      <c r="E1981" s="8"/>
      <c r="F1981" s="8"/>
      <c r="G1981" s="8"/>
      <c r="H1981" s="8"/>
      <c r="I1981" s="8"/>
      <c r="J1981" s="8"/>
      <c r="K1981" s="8"/>
      <c r="L1981" s="8"/>
      <c r="M1981" s="8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  <c r="AD1981" s="8"/>
      <c r="AE1981" s="8"/>
      <c r="AF1981" s="8"/>
      <c r="AG1981" s="8"/>
      <c r="AH1981" s="8"/>
      <c r="AI1981" s="8"/>
      <c r="AJ1981" s="8"/>
      <c r="AK1981" s="8"/>
      <c r="AL1981" s="8"/>
      <c r="AM1981" s="8"/>
      <c r="AN1981" s="8"/>
      <c r="AO1981" s="8"/>
      <c r="AP1981" s="8"/>
      <c r="AQ1981" s="8"/>
      <c r="AR1981" s="8"/>
      <c r="AS1981" s="8"/>
      <c r="AT1981" s="8"/>
      <c r="AU1981" s="8"/>
      <c r="AV1981" s="8"/>
      <c r="AW1981" s="8"/>
      <c r="AX1981" s="8"/>
      <c r="AY1981" s="8"/>
      <c r="AZ1981" s="10"/>
    </row>
    <row r="1982" spans="2:52" x14ac:dyDescent="0.35">
      <c r="B1982" s="7"/>
      <c r="C1982" s="8"/>
      <c r="D1982" s="8"/>
      <c r="E1982" s="8"/>
      <c r="F1982" s="8"/>
      <c r="G1982" s="8"/>
      <c r="H1982" s="8"/>
      <c r="I1982" s="8"/>
      <c r="J1982" s="8"/>
      <c r="K1982" s="8"/>
      <c r="L1982" s="8"/>
      <c r="M1982" s="8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8"/>
      <c r="AE1982" s="8"/>
      <c r="AF1982" s="8"/>
      <c r="AG1982" s="8"/>
      <c r="AH1982" s="8"/>
      <c r="AI1982" s="8"/>
      <c r="AJ1982" s="8"/>
      <c r="AK1982" s="8"/>
      <c r="AL1982" s="8"/>
      <c r="AM1982" s="8"/>
      <c r="AN1982" s="8"/>
      <c r="AO1982" s="8"/>
      <c r="AP1982" s="8"/>
      <c r="AQ1982" s="8"/>
      <c r="AR1982" s="8"/>
      <c r="AS1982" s="8"/>
      <c r="AT1982" s="8"/>
      <c r="AU1982" s="8"/>
      <c r="AV1982" s="8"/>
      <c r="AW1982" s="8"/>
      <c r="AX1982" s="8"/>
      <c r="AY1982" s="8"/>
      <c r="AZ1982" s="10"/>
    </row>
    <row r="1983" spans="2:52" x14ac:dyDescent="0.35">
      <c r="B1983" s="7"/>
      <c r="C1983" s="8"/>
      <c r="D1983" s="8"/>
      <c r="E1983" s="8"/>
      <c r="F1983" s="8"/>
      <c r="G1983" s="8"/>
      <c r="H1983" s="8"/>
      <c r="I1983" s="8"/>
      <c r="J1983" s="8"/>
      <c r="K1983" s="8"/>
      <c r="L1983" s="8"/>
      <c r="M1983" s="8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8"/>
      <c r="AE1983" s="8"/>
      <c r="AF1983" s="8"/>
      <c r="AG1983" s="8"/>
      <c r="AH1983" s="8"/>
      <c r="AI1983" s="8"/>
      <c r="AJ1983" s="8"/>
      <c r="AK1983" s="8"/>
      <c r="AL1983" s="8"/>
      <c r="AM1983" s="8"/>
      <c r="AN1983" s="8"/>
      <c r="AO1983" s="8"/>
      <c r="AP1983" s="8"/>
      <c r="AQ1983" s="8"/>
      <c r="AR1983" s="8"/>
      <c r="AS1983" s="8"/>
      <c r="AT1983" s="8"/>
      <c r="AU1983" s="8"/>
      <c r="AV1983" s="8"/>
      <c r="AW1983" s="8"/>
      <c r="AX1983" s="8"/>
      <c r="AY1983" s="8"/>
      <c r="AZ1983" s="10"/>
    </row>
    <row r="1984" spans="2:52" x14ac:dyDescent="0.35">
      <c r="B1984" s="7"/>
      <c r="C1984" s="8"/>
      <c r="D1984" s="8"/>
      <c r="E1984" s="8"/>
      <c r="F1984" s="8"/>
      <c r="G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8"/>
      <c r="AE1984" s="8"/>
      <c r="AF1984" s="8"/>
      <c r="AG1984" s="8"/>
      <c r="AH1984" s="8"/>
      <c r="AI1984" s="8"/>
      <c r="AJ1984" s="8"/>
      <c r="AK1984" s="8"/>
      <c r="AL1984" s="8"/>
      <c r="AM1984" s="8"/>
      <c r="AN1984" s="8"/>
      <c r="AO1984" s="8"/>
      <c r="AP1984" s="8"/>
      <c r="AQ1984" s="8"/>
      <c r="AR1984" s="8"/>
      <c r="AS1984" s="8"/>
      <c r="AT1984" s="8"/>
      <c r="AU1984" s="8"/>
      <c r="AV1984" s="8"/>
      <c r="AW1984" s="8"/>
      <c r="AX1984" s="8"/>
      <c r="AY1984" s="8"/>
      <c r="AZ1984" s="10"/>
    </row>
    <row r="1985" spans="2:52" x14ac:dyDescent="0.35">
      <c r="B1985" s="7"/>
      <c r="C1985" s="8"/>
      <c r="D1985" s="8"/>
      <c r="E1985" s="8"/>
      <c r="F1985" s="8"/>
      <c r="G1985" s="8"/>
      <c r="H1985" s="8"/>
      <c r="I1985" s="8"/>
      <c r="J1985" s="8"/>
      <c r="K1985" s="8"/>
      <c r="L1985" s="8"/>
      <c r="M1985" s="8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  <c r="AD1985" s="8"/>
      <c r="AE1985" s="8"/>
      <c r="AF1985" s="8"/>
      <c r="AG1985" s="8"/>
      <c r="AH1985" s="8"/>
      <c r="AI1985" s="8"/>
      <c r="AJ1985" s="8"/>
      <c r="AK1985" s="8"/>
      <c r="AL1985" s="8"/>
      <c r="AM1985" s="8"/>
      <c r="AN1985" s="8"/>
      <c r="AO1985" s="8"/>
      <c r="AP1985" s="8"/>
      <c r="AQ1985" s="8"/>
      <c r="AR1985" s="8"/>
      <c r="AS1985" s="8"/>
      <c r="AT1985" s="8"/>
      <c r="AU1985" s="8"/>
      <c r="AV1985" s="8"/>
      <c r="AW1985" s="8"/>
      <c r="AX1985" s="8"/>
      <c r="AY1985" s="8"/>
      <c r="AZ1985" s="10"/>
    </row>
    <row r="1986" spans="2:52" x14ac:dyDescent="0.35">
      <c r="B1986" s="7"/>
      <c r="C1986" s="8"/>
      <c r="D1986" s="8"/>
      <c r="E1986" s="8"/>
      <c r="F1986" s="8"/>
      <c r="G1986" s="8"/>
      <c r="H1986" s="8"/>
      <c r="I1986" s="8"/>
      <c r="J1986" s="8"/>
      <c r="K1986" s="8"/>
      <c r="L1986" s="8"/>
      <c r="M1986" s="8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  <c r="AD1986" s="8"/>
      <c r="AE1986" s="8"/>
      <c r="AF1986" s="8"/>
      <c r="AG1986" s="8"/>
      <c r="AH1986" s="8"/>
      <c r="AI1986" s="8"/>
      <c r="AJ1986" s="8"/>
      <c r="AK1986" s="8"/>
      <c r="AL1986" s="8"/>
      <c r="AM1986" s="8"/>
      <c r="AN1986" s="8"/>
      <c r="AO1986" s="8"/>
      <c r="AP1986" s="8"/>
      <c r="AQ1986" s="8"/>
      <c r="AR1986" s="8"/>
      <c r="AS1986" s="8"/>
      <c r="AT1986" s="8"/>
      <c r="AU1986" s="8"/>
      <c r="AV1986" s="8"/>
      <c r="AW1986" s="8"/>
      <c r="AX1986" s="8"/>
      <c r="AY1986" s="8"/>
      <c r="AZ1986" s="10"/>
    </row>
    <row r="1987" spans="2:52" x14ac:dyDescent="0.35">
      <c r="B1987" s="7"/>
      <c r="C1987" s="8"/>
      <c r="D1987" s="8"/>
      <c r="E1987" s="8"/>
      <c r="F1987" s="8"/>
      <c r="G1987" s="8"/>
      <c r="H1987" s="8"/>
      <c r="I1987" s="8"/>
      <c r="J1987" s="8"/>
      <c r="K1987" s="8"/>
      <c r="L1987" s="8"/>
      <c r="M1987" s="8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  <c r="AD1987" s="8"/>
      <c r="AE1987" s="8"/>
      <c r="AF1987" s="8"/>
      <c r="AG1987" s="8"/>
      <c r="AH1987" s="8"/>
      <c r="AI1987" s="8"/>
      <c r="AJ1987" s="8"/>
      <c r="AK1987" s="8"/>
      <c r="AL1987" s="8"/>
      <c r="AM1987" s="8"/>
      <c r="AN1987" s="8"/>
      <c r="AO1987" s="8"/>
      <c r="AP1987" s="8"/>
      <c r="AQ1987" s="8"/>
      <c r="AR1987" s="8"/>
      <c r="AS1987" s="8"/>
      <c r="AT1987" s="8"/>
      <c r="AU1987" s="8"/>
      <c r="AV1987" s="8"/>
      <c r="AW1987" s="8"/>
      <c r="AX1987" s="8"/>
      <c r="AY1987" s="8"/>
      <c r="AZ1987" s="10"/>
    </row>
    <row r="1988" spans="2:52" x14ac:dyDescent="0.35">
      <c r="B1988" s="7"/>
      <c r="C1988" s="8"/>
      <c r="D1988" s="8"/>
      <c r="E1988" s="8"/>
      <c r="F1988" s="8"/>
      <c r="G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8"/>
      <c r="AE1988" s="8"/>
      <c r="AF1988" s="8"/>
      <c r="AG1988" s="8"/>
      <c r="AH1988" s="8"/>
      <c r="AI1988" s="8"/>
      <c r="AJ1988" s="8"/>
      <c r="AK1988" s="8"/>
      <c r="AL1988" s="8"/>
      <c r="AM1988" s="8"/>
      <c r="AN1988" s="8"/>
      <c r="AO1988" s="8"/>
      <c r="AP1988" s="8"/>
      <c r="AQ1988" s="8"/>
      <c r="AR1988" s="8"/>
      <c r="AS1988" s="8"/>
      <c r="AT1988" s="8"/>
      <c r="AU1988" s="8"/>
      <c r="AV1988" s="8"/>
      <c r="AW1988" s="8"/>
      <c r="AX1988" s="8"/>
      <c r="AY1988" s="8"/>
      <c r="AZ1988" s="10"/>
    </row>
    <row r="1989" spans="2:52" x14ac:dyDescent="0.35">
      <c r="B1989" s="7"/>
      <c r="C1989" s="8"/>
      <c r="D1989" s="8"/>
      <c r="E1989" s="8"/>
      <c r="F1989" s="8"/>
      <c r="G1989" s="8"/>
      <c r="H1989" s="8"/>
      <c r="I1989" s="8"/>
      <c r="J1989" s="8"/>
      <c r="K1989" s="8"/>
      <c r="L1989" s="8"/>
      <c r="M1989" s="8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8"/>
      <c r="AE1989" s="8"/>
      <c r="AF1989" s="8"/>
      <c r="AG1989" s="8"/>
      <c r="AH1989" s="8"/>
      <c r="AI1989" s="8"/>
      <c r="AJ1989" s="8"/>
      <c r="AK1989" s="8"/>
      <c r="AL1989" s="8"/>
      <c r="AM1989" s="8"/>
      <c r="AN1989" s="8"/>
      <c r="AO1989" s="8"/>
      <c r="AP1989" s="8"/>
      <c r="AQ1989" s="8"/>
      <c r="AR1989" s="8"/>
      <c r="AS1989" s="8"/>
      <c r="AT1989" s="8"/>
      <c r="AU1989" s="8"/>
      <c r="AV1989" s="8"/>
      <c r="AW1989" s="8"/>
      <c r="AX1989" s="8"/>
      <c r="AY1989" s="8"/>
      <c r="AZ1989" s="10"/>
    </row>
    <row r="1990" spans="2:52" x14ac:dyDescent="0.35">
      <c r="B1990" s="7"/>
      <c r="C1990" s="8"/>
      <c r="D1990" s="8"/>
      <c r="E1990" s="8"/>
      <c r="F1990" s="8"/>
      <c r="G1990" s="8"/>
      <c r="H1990" s="8"/>
      <c r="I1990" s="8"/>
      <c r="J1990" s="8"/>
      <c r="K1990" s="8"/>
      <c r="L1990" s="8"/>
      <c r="M1990" s="8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  <c r="AD1990" s="8"/>
      <c r="AE1990" s="8"/>
      <c r="AF1990" s="8"/>
      <c r="AG1990" s="8"/>
      <c r="AH1990" s="8"/>
      <c r="AI1990" s="8"/>
      <c r="AJ1990" s="8"/>
      <c r="AK1990" s="8"/>
      <c r="AL1990" s="8"/>
      <c r="AM1990" s="8"/>
      <c r="AN1990" s="8"/>
      <c r="AO1990" s="8"/>
      <c r="AP1990" s="8"/>
      <c r="AQ1990" s="8"/>
      <c r="AR1990" s="8"/>
      <c r="AS1990" s="8"/>
      <c r="AT1990" s="8"/>
      <c r="AU1990" s="8"/>
      <c r="AV1990" s="8"/>
      <c r="AW1990" s="8"/>
      <c r="AX1990" s="8"/>
      <c r="AY1990" s="8"/>
      <c r="AZ1990" s="10"/>
    </row>
    <row r="1991" spans="2:52" x14ac:dyDescent="0.35">
      <c r="B1991" s="7"/>
      <c r="C1991" s="8"/>
      <c r="D1991" s="8"/>
      <c r="E1991" s="8"/>
      <c r="F1991" s="8"/>
      <c r="G1991" s="8"/>
      <c r="H1991" s="8"/>
      <c r="I1991" s="8"/>
      <c r="J1991" s="8"/>
      <c r="K1991" s="8"/>
      <c r="L1991" s="8"/>
      <c r="M1991" s="8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  <c r="AD1991" s="8"/>
      <c r="AE1991" s="8"/>
      <c r="AF1991" s="8"/>
      <c r="AG1991" s="8"/>
      <c r="AH1991" s="8"/>
      <c r="AI1991" s="8"/>
      <c r="AJ1991" s="8"/>
      <c r="AK1991" s="8"/>
      <c r="AL1991" s="8"/>
      <c r="AM1991" s="8"/>
      <c r="AN1991" s="8"/>
      <c r="AO1991" s="8"/>
      <c r="AP1991" s="8"/>
      <c r="AQ1991" s="8"/>
      <c r="AR1991" s="8"/>
      <c r="AS1991" s="8"/>
      <c r="AT1991" s="8"/>
      <c r="AU1991" s="8"/>
      <c r="AV1991" s="8"/>
      <c r="AW1991" s="8"/>
      <c r="AX1991" s="8"/>
      <c r="AY1991" s="8"/>
      <c r="AZ1991" s="10"/>
    </row>
    <row r="1992" spans="2:52" x14ac:dyDescent="0.35">
      <c r="B1992" s="7"/>
      <c r="C1992" s="8"/>
      <c r="D1992" s="8"/>
      <c r="E1992" s="8"/>
      <c r="F1992" s="8"/>
      <c r="G1992" s="8"/>
      <c r="H1992" s="8"/>
      <c r="I1992" s="8"/>
      <c r="J1992" s="8"/>
      <c r="K1992" s="8"/>
      <c r="L1992" s="8"/>
      <c r="M1992" s="8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  <c r="AD1992" s="8"/>
      <c r="AE1992" s="8"/>
      <c r="AF1992" s="8"/>
      <c r="AG1992" s="8"/>
      <c r="AH1992" s="8"/>
      <c r="AI1992" s="8"/>
      <c r="AJ1992" s="8"/>
      <c r="AK1992" s="8"/>
      <c r="AL1992" s="8"/>
      <c r="AM1992" s="8"/>
      <c r="AN1992" s="8"/>
      <c r="AO1992" s="8"/>
      <c r="AP1992" s="8"/>
      <c r="AQ1992" s="8"/>
      <c r="AR1992" s="8"/>
      <c r="AS1992" s="8"/>
      <c r="AT1992" s="8"/>
      <c r="AU1992" s="8"/>
      <c r="AV1992" s="8"/>
      <c r="AW1992" s="8"/>
      <c r="AX1992" s="8"/>
      <c r="AY1992" s="8"/>
      <c r="AZ1992" s="10"/>
    </row>
    <row r="1993" spans="2:52" x14ac:dyDescent="0.35">
      <c r="B1993" s="7"/>
      <c r="C1993" s="8"/>
      <c r="D1993" s="8"/>
      <c r="E1993" s="8"/>
      <c r="F1993" s="8"/>
      <c r="G1993" s="8"/>
      <c r="H1993" s="8"/>
      <c r="I1993" s="8"/>
      <c r="J1993" s="8"/>
      <c r="K1993" s="8"/>
      <c r="L1993" s="8"/>
      <c r="M1993" s="8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  <c r="AD1993" s="8"/>
      <c r="AE1993" s="8"/>
      <c r="AF1993" s="8"/>
      <c r="AG1993" s="8"/>
      <c r="AH1993" s="8"/>
      <c r="AI1993" s="8"/>
      <c r="AJ1993" s="8"/>
      <c r="AK1993" s="8"/>
      <c r="AL1993" s="8"/>
      <c r="AM1993" s="8"/>
      <c r="AN1993" s="8"/>
      <c r="AO1993" s="8"/>
      <c r="AP1993" s="8"/>
      <c r="AQ1993" s="8"/>
      <c r="AR1993" s="8"/>
      <c r="AS1993" s="8"/>
      <c r="AT1993" s="8"/>
      <c r="AU1993" s="8"/>
      <c r="AV1993" s="8"/>
      <c r="AW1993" s="8"/>
      <c r="AX1993" s="8"/>
      <c r="AY1993" s="8"/>
      <c r="AZ1993" s="10"/>
    </row>
    <row r="1994" spans="2:52" x14ac:dyDescent="0.35">
      <c r="B1994" s="7"/>
      <c r="C1994" s="8"/>
      <c r="D1994" s="8"/>
      <c r="E1994" s="8"/>
      <c r="F1994" s="8"/>
      <c r="G1994" s="8"/>
      <c r="H1994" s="8"/>
      <c r="I1994" s="8"/>
      <c r="J1994" s="8"/>
      <c r="K1994" s="8"/>
      <c r="L1994" s="8"/>
      <c r="M1994" s="8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  <c r="AD1994" s="8"/>
      <c r="AE1994" s="8"/>
      <c r="AF1994" s="8"/>
      <c r="AG1994" s="8"/>
      <c r="AH1994" s="8"/>
      <c r="AI1994" s="8"/>
      <c r="AJ1994" s="8"/>
      <c r="AK1994" s="8"/>
      <c r="AL1994" s="8"/>
      <c r="AM1994" s="8"/>
      <c r="AN1994" s="8"/>
      <c r="AO1994" s="8"/>
      <c r="AP1994" s="8"/>
      <c r="AQ1994" s="8"/>
      <c r="AR1994" s="8"/>
      <c r="AS1994" s="8"/>
      <c r="AT1994" s="8"/>
      <c r="AU1994" s="8"/>
      <c r="AV1994" s="8"/>
      <c r="AW1994" s="8"/>
      <c r="AX1994" s="8"/>
      <c r="AY1994" s="8"/>
      <c r="AZ1994" s="10"/>
    </row>
    <row r="1995" spans="2:52" x14ac:dyDescent="0.35">
      <c r="B1995" s="7"/>
      <c r="C1995" s="8"/>
      <c r="D1995" s="8"/>
      <c r="E1995" s="8"/>
      <c r="F1995" s="8"/>
      <c r="G1995" s="8"/>
      <c r="H1995" s="8"/>
      <c r="I1995" s="8"/>
      <c r="J1995" s="8"/>
      <c r="K1995" s="8"/>
      <c r="L1995" s="8"/>
      <c r="M1995" s="8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  <c r="AD1995" s="8"/>
      <c r="AE1995" s="8"/>
      <c r="AF1995" s="8"/>
      <c r="AG1995" s="8"/>
      <c r="AH1995" s="8"/>
      <c r="AI1995" s="8"/>
      <c r="AJ1995" s="8"/>
      <c r="AK1995" s="8"/>
      <c r="AL1995" s="8"/>
      <c r="AM1995" s="8"/>
      <c r="AN1995" s="8"/>
      <c r="AO1995" s="8"/>
      <c r="AP1995" s="8"/>
      <c r="AQ1995" s="8"/>
      <c r="AR1995" s="8"/>
      <c r="AS1995" s="8"/>
      <c r="AT1995" s="8"/>
      <c r="AU1995" s="8"/>
      <c r="AV1995" s="8"/>
      <c r="AW1995" s="8"/>
      <c r="AX1995" s="8"/>
      <c r="AY1995" s="8"/>
      <c r="AZ1995" s="10"/>
    </row>
    <row r="1996" spans="2:52" x14ac:dyDescent="0.35">
      <c r="B1996" s="7"/>
      <c r="C1996" s="8"/>
      <c r="D1996" s="8"/>
      <c r="E1996" s="8"/>
      <c r="F1996" s="8"/>
      <c r="G1996" s="8"/>
      <c r="H1996" s="8"/>
      <c r="I1996" s="8"/>
      <c r="J1996" s="8"/>
      <c r="K1996" s="8"/>
      <c r="L1996" s="8"/>
      <c r="M1996" s="8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  <c r="AD1996" s="8"/>
      <c r="AE1996" s="8"/>
      <c r="AF1996" s="8"/>
      <c r="AG1996" s="8"/>
      <c r="AH1996" s="8"/>
      <c r="AI1996" s="8"/>
      <c r="AJ1996" s="8"/>
      <c r="AK1996" s="8"/>
      <c r="AL1996" s="8"/>
      <c r="AM1996" s="8"/>
      <c r="AN1996" s="8"/>
      <c r="AO1996" s="8"/>
      <c r="AP1996" s="8"/>
      <c r="AQ1996" s="8"/>
      <c r="AR1996" s="8"/>
      <c r="AS1996" s="8"/>
      <c r="AT1996" s="8"/>
      <c r="AU1996" s="8"/>
      <c r="AV1996" s="8"/>
      <c r="AW1996" s="8"/>
      <c r="AX1996" s="8"/>
      <c r="AY1996" s="8"/>
      <c r="AZ1996" s="10"/>
    </row>
    <row r="1997" spans="2:52" x14ac:dyDescent="0.35">
      <c r="B1997" s="7"/>
      <c r="C1997" s="8"/>
      <c r="D1997" s="8"/>
      <c r="E1997" s="8"/>
      <c r="F1997" s="8"/>
      <c r="G1997" s="8"/>
      <c r="H1997" s="8"/>
      <c r="I1997" s="8"/>
      <c r="J1997" s="8"/>
      <c r="K1997" s="8"/>
      <c r="L1997" s="8"/>
      <c r="M1997" s="8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  <c r="AD1997" s="8"/>
      <c r="AE1997" s="8"/>
      <c r="AF1997" s="8"/>
      <c r="AG1997" s="8"/>
      <c r="AH1997" s="8"/>
      <c r="AI1997" s="8"/>
      <c r="AJ1997" s="8"/>
      <c r="AK1997" s="8"/>
      <c r="AL1997" s="8"/>
      <c r="AM1997" s="8"/>
      <c r="AN1997" s="8"/>
      <c r="AO1997" s="8"/>
      <c r="AP1997" s="8"/>
      <c r="AQ1997" s="8"/>
      <c r="AR1997" s="8"/>
      <c r="AS1997" s="8"/>
      <c r="AT1997" s="8"/>
      <c r="AU1997" s="8"/>
      <c r="AV1997" s="8"/>
      <c r="AW1997" s="8"/>
      <c r="AX1997" s="8"/>
      <c r="AY1997" s="8"/>
      <c r="AZ1997" s="10"/>
    </row>
    <row r="1998" spans="2:52" x14ac:dyDescent="0.35">
      <c r="B1998" s="7"/>
      <c r="C1998" s="8"/>
      <c r="D1998" s="8"/>
      <c r="E1998" s="8"/>
      <c r="F1998" s="8"/>
      <c r="G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  <c r="AD1998" s="8"/>
      <c r="AE1998" s="8"/>
      <c r="AF1998" s="8"/>
      <c r="AG1998" s="8"/>
      <c r="AH1998" s="8"/>
      <c r="AI1998" s="8"/>
      <c r="AJ1998" s="8"/>
      <c r="AK1998" s="8"/>
      <c r="AL1998" s="8"/>
      <c r="AM1998" s="8"/>
      <c r="AN1998" s="8"/>
      <c r="AO1998" s="8"/>
      <c r="AP1998" s="8"/>
      <c r="AQ1998" s="8"/>
      <c r="AR1998" s="8"/>
      <c r="AS1998" s="8"/>
      <c r="AT1998" s="8"/>
      <c r="AU1998" s="8"/>
      <c r="AV1998" s="8"/>
      <c r="AW1998" s="8"/>
      <c r="AX1998" s="8"/>
      <c r="AY1998" s="8"/>
      <c r="AZ1998" s="10"/>
    </row>
    <row r="1999" spans="2:52" x14ac:dyDescent="0.35">
      <c r="B1999" s="7"/>
      <c r="C1999" s="8"/>
      <c r="D1999" s="8"/>
      <c r="E1999" s="8"/>
      <c r="F1999" s="8"/>
      <c r="G1999" s="8"/>
      <c r="H1999" s="8"/>
      <c r="I1999" s="8"/>
      <c r="J1999" s="8"/>
      <c r="K1999" s="8"/>
      <c r="L1999" s="8"/>
      <c r="M1999" s="8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  <c r="AD1999" s="8"/>
      <c r="AE1999" s="8"/>
      <c r="AF1999" s="8"/>
      <c r="AG1999" s="8"/>
      <c r="AH1999" s="8"/>
      <c r="AI1999" s="8"/>
      <c r="AJ1999" s="8"/>
      <c r="AK1999" s="8"/>
      <c r="AL1999" s="8"/>
      <c r="AM1999" s="8"/>
      <c r="AN1999" s="8"/>
      <c r="AO1999" s="8"/>
      <c r="AP1999" s="8"/>
      <c r="AQ1999" s="8"/>
      <c r="AR1999" s="8"/>
      <c r="AS1999" s="8"/>
      <c r="AT1999" s="8"/>
      <c r="AU1999" s="8"/>
      <c r="AV1999" s="8"/>
      <c r="AW1999" s="8"/>
      <c r="AX1999" s="8"/>
      <c r="AY1999" s="8"/>
      <c r="AZ1999" s="10"/>
    </row>
    <row r="2000" spans="2:52" x14ac:dyDescent="0.35">
      <c r="B2000" s="11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12"/>
    </row>
  </sheetData>
  <autoFilter ref="B3:AZ3" xr:uid="{00000000-0009-0000-0000-000001000000}"/>
  <conditionalFormatting sqref="B4:AZ2000">
    <cfRule type="expression" dxfId="5" priority="1">
      <formula>IF($B4="",0,MOD(ROW(),2))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S41"/>
  <sheetViews>
    <sheetView showGridLines="0" workbookViewId="0">
      <pane ySplit="1" topLeftCell="A2" activePane="bottomLeft" state="frozen"/>
      <selection pane="bottomLeft"/>
    </sheetView>
  </sheetViews>
  <sheetFormatPr defaultRowHeight="14.5" outlineLevelCol="1" x14ac:dyDescent="0.35"/>
  <cols>
    <col min="3" max="5" width="9.1796875" hidden="1" customWidth="1" outlineLevel="1"/>
    <col min="6" max="6" width="14.81640625" hidden="1" customWidth="1" outlineLevel="1"/>
    <col min="7" max="15" width="9.1796875" hidden="1" customWidth="1" outlineLevel="1"/>
    <col min="16" max="16" width="14.81640625" bestFit="1" customWidth="1" outlineLevel="1" collapsed="1"/>
    <col min="17" max="17" width="9.1796875" hidden="1" customWidth="1" outlineLevel="1"/>
    <col min="18" max="18" width="9.1796875" collapsed="1"/>
    <col min="19" max="24" width="9.1796875" hidden="1" customWidth="1" outlineLevel="1"/>
    <col min="25" max="25" width="0" hidden="1" customWidth="1" outlineLevel="1" collapsed="1"/>
    <col min="26" max="34" width="0" hidden="1" customWidth="1" outlineLevel="1"/>
    <col min="35" max="35" width="9.1796875" collapsed="1"/>
    <col min="46" max="50" width="9.1796875" hidden="1" customWidth="1" outlineLevel="1"/>
    <col min="51" max="51" width="9.1796875" collapsed="1"/>
    <col min="52" max="68" width="9.1796875" hidden="1" customWidth="1" outlineLevel="1"/>
    <col min="69" max="69" width="13.26953125" bestFit="1" customWidth="1" collapsed="1"/>
    <col min="70" max="70" width="14.54296875" bestFit="1" customWidth="1"/>
    <col min="71" max="71" width="22.81640625" bestFit="1" customWidth="1"/>
  </cols>
  <sheetData>
    <row r="1" spans="1:71" x14ac:dyDescent="0.35">
      <c r="A1" t="s">
        <v>100</v>
      </c>
      <c r="B1" s="15" t="s">
        <v>101</v>
      </c>
      <c r="C1" s="15" t="s">
        <v>102</v>
      </c>
      <c r="D1" s="15" t="s">
        <v>103</v>
      </c>
      <c r="E1" s="15" t="s">
        <v>104</v>
      </c>
      <c r="F1" s="15" t="s">
        <v>105</v>
      </c>
      <c r="G1" s="15" t="s">
        <v>106</v>
      </c>
      <c r="H1" s="15" t="s">
        <v>107</v>
      </c>
      <c r="I1" s="15" t="s">
        <v>108</v>
      </c>
      <c r="J1" s="15" t="s">
        <v>109</v>
      </c>
      <c r="K1" s="15" t="s">
        <v>110</v>
      </c>
      <c r="L1" s="15" t="s">
        <v>111</v>
      </c>
      <c r="M1" s="15" t="s">
        <v>112</v>
      </c>
      <c r="N1" s="15" t="s">
        <v>113</v>
      </c>
      <c r="O1" s="15" t="s">
        <v>114</v>
      </c>
      <c r="P1" s="15" t="s">
        <v>115</v>
      </c>
      <c r="Q1" s="15" t="s">
        <v>116</v>
      </c>
      <c r="R1" s="15" t="s">
        <v>117</v>
      </c>
      <c r="S1" s="15" t="s">
        <v>118</v>
      </c>
      <c r="T1" s="15" t="s">
        <v>119</v>
      </c>
      <c r="U1" s="15" t="s">
        <v>120</v>
      </c>
      <c r="V1" s="15" t="s">
        <v>121</v>
      </c>
      <c r="W1" s="15" t="s">
        <v>122</v>
      </c>
      <c r="X1" s="15" t="s">
        <v>123</v>
      </c>
      <c r="Y1" s="15" t="s">
        <v>124</v>
      </c>
      <c r="Z1" s="15" t="s">
        <v>125</v>
      </c>
      <c r="AA1" s="15" t="s">
        <v>126</v>
      </c>
      <c r="AB1" s="15" t="s">
        <v>127</v>
      </c>
      <c r="AC1" s="15" t="s">
        <v>128</v>
      </c>
      <c r="AD1" s="15" t="s">
        <v>129</v>
      </c>
      <c r="AE1" s="15" t="s">
        <v>130</v>
      </c>
      <c r="AF1" s="15" t="s">
        <v>131</v>
      </c>
      <c r="AG1" s="15" t="s">
        <v>132</v>
      </c>
      <c r="AH1" s="15" t="s">
        <v>133</v>
      </c>
      <c r="AI1" s="15" t="s">
        <v>134</v>
      </c>
      <c r="AJ1" s="15" t="s">
        <v>135</v>
      </c>
      <c r="AK1" s="15" t="s">
        <v>136</v>
      </c>
      <c r="AL1" s="15" t="s">
        <v>137</v>
      </c>
      <c r="AM1" s="15" t="s">
        <v>138</v>
      </c>
      <c r="AN1" s="15" t="s">
        <v>139</v>
      </c>
      <c r="AO1" s="15" t="s">
        <v>140</v>
      </c>
      <c r="AP1" s="16" t="s">
        <v>141</v>
      </c>
      <c r="AQ1" s="15" t="s">
        <v>142</v>
      </c>
      <c r="AR1" s="15" t="s">
        <v>143</v>
      </c>
      <c r="AS1" s="15" t="s">
        <v>144</v>
      </c>
      <c r="AT1" s="15" t="s">
        <v>145</v>
      </c>
      <c r="AU1" s="15" t="s">
        <v>146</v>
      </c>
      <c r="AV1" s="15" t="s">
        <v>147</v>
      </c>
      <c r="AW1" s="15" t="s">
        <v>148</v>
      </c>
      <c r="AX1" s="15" t="s">
        <v>149</v>
      </c>
      <c r="AY1" s="16" t="s">
        <v>150</v>
      </c>
      <c r="AZ1" s="15" t="s">
        <v>151</v>
      </c>
      <c r="BA1" s="15" t="s">
        <v>152</v>
      </c>
      <c r="BB1" s="15" t="s">
        <v>153</v>
      </c>
      <c r="BC1" s="15" t="s">
        <v>154</v>
      </c>
      <c r="BD1" s="15" t="s">
        <v>155</v>
      </c>
      <c r="BE1" s="15" t="s">
        <v>156</v>
      </c>
      <c r="BF1" s="15" t="s">
        <v>157</v>
      </c>
      <c r="BG1" s="15" t="s">
        <v>158</v>
      </c>
      <c r="BH1" s="15" t="s">
        <v>159</v>
      </c>
      <c r="BI1" s="15" t="s">
        <v>160</v>
      </c>
      <c r="BJ1" s="15" t="s">
        <v>161</v>
      </c>
      <c r="BK1" s="15" t="s">
        <v>162</v>
      </c>
      <c r="BL1" s="15" t="s">
        <v>163</v>
      </c>
      <c r="BM1" s="15" t="s">
        <v>164</v>
      </c>
      <c r="BN1" s="15" t="s">
        <v>165</v>
      </c>
      <c r="BO1" s="15" t="s">
        <v>166</v>
      </c>
      <c r="BP1" s="15" t="s">
        <v>167</v>
      </c>
      <c r="BQ1" s="21" t="s">
        <v>100</v>
      </c>
      <c r="BR1" s="21" t="s">
        <v>279</v>
      </c>
      <c r="BS1" s="21" t="s">
        <v>101</v>
      </c>
    </row>
    <row r="2" spans="1:71" x14ac:dyDescent="0.35">
      <c r="A2" t="s">
        <v>168</v>
      </c>
      <c r="B2" t="s">
        <v>169</v>
      </c>
      <c r="C2" t="s">
        <v>170</v>
      </c>
      <c r="E2" t="s">
        <v>171</v>
      </c>
      <c r="F2" s="1">
        <v>44047.259027777778</v>
      </c>
      <c r="G2" t="s">
        <v>172</v>
      </c>
      <c r="H2" t="s">
        <v>173</v>
      </c>
      <c r="I2">
        <v>0</v>
      </c>
      <c r="J2">
        <v>0</v>
      </c>
      <c r="K2">
        <v>0</v>
      </c>
      <c r="L2">
        <v>0</v>
      </c>
      <c r="N2">
        <v>0</v>
      </c>
      <c r="O2" t="s">
        <v>174</v>
      </c>
      <c r="P2" s="1">
        <v>44036.768055555556</v>
      </c>
      <c r="Q2">
        <v>2</v>
      </c>
      <c r="R2" t="s">
        <v>175</v>
      </c>
      <c r="S2">
        <v>0</v>
      </c>
      <c r="U2">
        <v>4362</v>
      </c>
      <c r="V2" t="b">
        <v>1</v>
      </c>
      <c r="W2" t="b">
        <v>0</v>
      </c>
      <c r="X2" t="s">
        <v>171</v>
      </c>
      <c r="Y2" t="s">
        <v>176</v>
      </c>
      <c r="Z2" t="s">
        <v>177</v>
      </c>
      <c r="AA2" t="s">
        <v>178</v>
      </c>
      <c r="AB2" t="s">
        <v>179</v>
      </c>
      <c r="AC2" t="s">
        <v>180</v>
      </c>
      <c r="AD2" t="s">
        <v>181</v>
      </c>
      <c r="AE2" t="s">
        <v>182</v>
      </c>
      <c r="AF2" t="s">
        <v>71</v>
      </c>
      <c r="AG2" t="s">
        <v>183</v>
      </c>
      <c r="AH2" t="s">
        <v>184</v>
      </c>
      <c r="AI2" t="s">
        <v>176</v>
      </c>
      <c r="AJ2" t="s">
        <v>177</v>
      </c>
      <c r="AK2" t="s">
        <v>178</v>
      </c>
      <c r="AL2" t="s">
        <v>179</v>
      </c>
      <c r="AM2" t="s">
        <v>180</v>
      </c>
      <c r="AN2" t="s">
        <v>181</v>
      </c>
      <c r="AO2" t="s">
        <v>182</v>
      </c>
      <c r="AP2" t="s">
        <v>71</v>
      </c>
      <c r="AQ2" t="s">
        <v>183</v>
      </c>
      <c r="AR2" t="s">
        <v>184</v>
      </c>
      <c r="AX2">
        <v>0</v>
      </c>
      <c r="AY2" t="s">
        <v>185</v>
      </c>
      <c r="AZ2" s="2">
        <v>2620000000000</v>
      </c>
      <c r="BB2" t="s">
        <v>186</v>
      </c>
      <c r="BC2" t="s">
        <v>187</v>
      </c>
      <c r="BD2">
        <v>0</v>
      </c>
      <c r="BQ2" t="str">
        <f>VLOOKUP($AY2,States!$B$4:$AZ$2000,MATCH(AP2,States!$B$3:$AZ$3,FALSE),FALSE)</f>
        <v>Greg Ambrogi</v>
      </c>
      <c r="BR2" t="str">
        <f>VLOOKUP($BQ2,'Rep Contact info'!$B$3:$D$400,MATCH(BR$1,'Rep Contact info'!$B$2:$D$2,FALSE),FALSE)</f>
        <v>(610) 420-3842</v>
      </c>
      <c r="BS2" t="str">
        <f>VLOOKUP($BQ2,'Rep Contact info'!$B$3:$D$400,MATCH(BS$1,'Rep Contact info'!$B$2:$D$2,FALSE),FALSE)</f>
        <v>grambrog24@gmail.com</v>
      </c>
    </row>
    <row r="3" spans="1:71" x14ac:dyDescent="0.35">
      <c r="A3" t="s">
        <v>168</v>
      </c>
      <c r="B3" t="s">
        <v>169</v>
      </c>
      <c r="P3" s="1">
        <v>44036.768055555556</v>
      </c>
      <c r="Q3">
        <v>1</v>
      </c>
      <c r="R3" t="s">
        <v>188</v>
      </c>
      <c r="S3">
        <v>0</v>
      </c>
      <c r="U3">
        <v>100237</v>
      </c>
      <c r="V3" t="b">
        <v>1</v>
      </c>
      <c r="W3" t="b">
        <v>0</v>
      </c>
      <c r="X3" t="s">
        <v>171</v>
      </c>
      <c r="Y3" t="s">
        <v>176</v>
      </c>
      <c r="Z3" t="s">
        <v>177</v>
      </c>
      <c r="AA3" t="s">
        <v>178</v>
      </c>
      <c r="AB3" t="s">
        <v>179</v>
      </c>
      <c r="AC3" t="s">
        <v>180</v>
      </c>
      <c r="AD3" t="s">
        <v>181</v>
      </c>
      <c r="AE3" t="s">
        <v>182</v>
      </c>
      <c r="AF3" t="s">
        <v>71</v>
      </c>
      <c r="AG3" t="s">
        <v>183</v>
      </c>
      <c r="AH3" t="s">
        <v>184</v>
      </c>
      <c r="AI3" t="s">
        <v>176</v>
      </c>
      <c r="AJ3" t="s">
        <v>177</v>
      </c>
      <c r="AK3" t="s">
        <v>178</v>
      </c>
      <c r="AL3" t="s">
        <v>179</v>
      </c>
      <c r="AM3" t="s">
        <v>180</v>
      </c>
      <c r="AN3" t="s">
        <v>181</v>
      </c>
      <c r="AO3" t="s">
        <v>182</v>
      </c>
      <c r="AP3" t="s">
        <v>71</v>
      </c>
      <c r="AQ3" t="s">
        <v>183</v>
      </c>
      <c r="AR3" t="s">
        <v>184</v>
      </c>
      <c r="AY3" t="s">
        <v>189</v>
      </c>
      <c r="BD3">
        <v>0</v>
      </c>
      <c r="BQ3" t="str">
        <f>VLOOKUP($AY3,States!$B$4:$AZ$2000,MATCH(AP3,States!$B$3:$AZ$3,FALSE),FALSE)</f>
        <v>Nick Cisler</v>
      </c>
      <c r="BR3" t="str">
        <f>VLOOKUP($BQ3,'Rep Contact info'!$B$3:$D$400,MATCH(BR$1,'Rep Contact info'!$B$2:$D$2,FALSE),FALSE)</f>
        <v>(215) 435-4353</v>
      </c>
      <c r="BS3" t="str">
        <f>VLOOKUP($BQ3,'Rep Contact info'!$B$3:$D$400,MATCH(BS$1,'Rep Contact info'!$B$2:$D$2,FALSE),FALSE)</f>
        <v>ncisler@gmail.com</v>
      </c>
    </row>
    <row r="4" spans="1:71" x14ac:dyDescent="0.35">
      <c r="A4" t="s">
        <v>168</v>
      </c>
      <c r="B4" t="s">
        <v>169</v>
      </c>
      <c r="P4" s="1">
        <v>44036.768055555556</v>
      </c>
      <c r="Q4">
        <v>1</v>
      </c>
      <c r="R4" t="s">
        <v>190</v>
      </c>
      <c r="S4">
        <v>0</v>
      </c>
      <c r="U4">
        <v>100275</v>
      </c>
      <c r="V4" t="b">
        <v>1</v>
      </c>
      <c r="W4" t="b">
        <v>0</v>
      </c>
      <c r="X4" t="s">
        <v>171</v>
      </c>
      <c r="Y4" t="s">
        <v>176</v>
      </c>
      <c r="Z4" t="s">
        <v>177</v>
      </c>
      <c r="AA4" t="s">
        <v>178</v>
      </c>
      <c r="AB4" t="s">
        <v>179</v>
      </c>
      <c r="AC4" t="s">
        <v>180</v>
      </c>
      <c r="AD4" t="s">
        <v>181</v>
      </c>
      <c r="AE4" t="s">
        <v>182</v>
      </c>
      <c r="AF4" t="s">
        <v>71</v>
      </c>
      <c r="AG4" t="s">
        <v>183</v>
      </c>
      <c r="AH4" t="s">
        <v>184</v>
      </c>
      <c r="AI4" t="s">
        <v>176</v>
      </c>
      <c r="AJ4" t="s">
        <v>177</v>
      </c>
      <c r="AK4" t="s">
        <v>178</v>
      </c>
      <c r="AL4" t="s">
        <v>179</v>
      </c>
      <c r="AM4" t="s">
        <v>180</v>
      </c>
      <c r="AN4" t="s">
        <v>181</v>
      </c>
      <c r="AO4" t="s">
        <v>182</v>
      </c>
      <c r="AP4" t="s">
        <v>71</v>
      </c>
      <c r="AQ4" t="s">
        <v>183</v>
      </c>
      <c r="AR4" t="s">
        <v>184</v>
      </c>
      <c r="AY4" t="s">
        <v>189</v>
      </c>
      <c r="BD4">
        <v>0</v>
      </c>
      <c r="BQ4" t="str">
        <f>VLOOKUP($AY4,States!$B$4:$AZ$2000,MATCH(AP4,States!$B$3:$AZ$3,FALSE),FALSE)</f>
        <v>Nick Cisler</v>
      </c>
      <c r="BR4" t="str">
        <f>VLOOKUP($BQ4,'Rep Contact info'!$B$3:$D$400,MATCH(BR$1,'Rep Contact info'!$B$2:$D$2,FALSE),FALSE)</f>
        <v>(215) 435-4353</v>
      </c>
      <c r="BS4" t="str">
        <f>VLOOKUP($BQ4,'Rep Contact info'!$B$3:$D$400,MATCH(BS$1,'Rep Contact info'!$B$2:$D$2,FALSE),FALSE)</f>
        <v>ncisler@gmail.com</v>
      </c>
    </row>
    <row r="5" spans="1:71" x14ac:dyDescent="0.35">
      <c r="A5" t="s">
        <v>168</v>
      </c>
      <c r="B5" t="s">
        <v>169</v>
      </c>
      <c r="P5" s="1">
        <v>44036.768055555556</v>
      </c>
      <c r="Q5">
        <v>1</v>
      </c>
      <c r="R5" t="s">
        <v>191</v>
      </c>
      <c r="S5">
        <v>0</v>
      </c>
      <c r="U5">
        <v>100189</v>
      </c>
      <c r="V5" t="b">
        <v>1</v>
      </c>
      <c r="W5" t="b">
        <v>0</v>
      </c>
      <c r="X5" t="s">
        <v>171</v>
      </c>
      <c r="Y5" t="s">
        <v>176</v>
      </c>
      <c r="Z5" t="s">
        <v>177</v>
      </c>
      <c r="AA5" t="s">
        <v>178</v>
      </c>
      <c r="AB5" t="s">
        <v>179</v>
      </c>
      <c r="AC5" t="s">
        <v>180</v>
      </c>
      <c r="AD5" t="s">
        <v>181</v>
      </c>
      <c r="AE5" t="s">
        <v>182</v>
      </c>
      <c r="AF5" t="s">
        <v>71</v>
      </c>
      <c r="AG5" t="s">
        <v>183</v>
      </c>
      <c r="AH5" t="s">
        <v>184</v>
      </c>
      <c r="AI5" t="s">
        <v>176</v>
      </c>
      <c r="AJ5" t="s">
        <v>177</v>
      </c>
      <c r="AK5" t="s">
        <v>178</v>
      </c>
      <c r="AL5" t="s">
        <v>179</v>
      </c>
      <c r="AM5" t="s">
        <v>180</v>
      </c>
      <c r="AN5" t="s">
        <v>181</v>
      </c>
      <c r="AO5" t="s">
        <v>182</v>
      </c>
      <c r="AP5" t="s">
        <v>71</v>
      </c>
      <c r="AQ5" t="s">
        <v>183</v>
      </c>
      <c r="AR5" t="s">
        <v>184</v>
      </c>
      <c r="AY5" t="s">
        <v>189</v>
      </c>
      <c r="BD5">
        <v>0</v>
      </c>
      <c r="BQ5" t="str">
        <f>VLOOKUP($AY5,States!$B$4:$AZ$2000,MATCH(AP5,States!$B$3:$AZ$3,FALSE),FALSE)</f>
        <v>Nick Cisler</v>
      </c>
      <c r="BR5" t="str">
        <f>VLOOKUP($BQ5,'Rep Contact info'!$B$3:$D$400,MATCH(BR$1,'Rep Contact info'!$B$2:$D$2,FALSE),FALSE)</f>
        <v>(215) 435-4353</v>
      </c>
      <c r="BS5" t="str">
        <f>VLOOKUP($BQ5,'Rep Contact info'!$B$3:$D$400,MATCH(BS$1,'Rep Contact info'!$B$2:$D$2,FALSE),FALSE)</f>
        <v>ncisler@gmail.com</v>
      </c>
    </row>
    <row r="6" spans="1:71" x14ac:dyDescent="0.35">
      <c r="A6" t="s">
        <v>168</v>
      </c>
      <c r="B6" t="s">
        <v>169</v>
      </c>
      <c r="P6" s="1">
        <v>44036.768055555556</v>
      </c>
      <c r="Q6">
        <v>1</v>
      </c>
      <c r="R6" t="s">
        <v>192</v>
      </c>
      <c r="S6">
        <v>0</v>
      </c>
      <c r="U6">
        <v>4367</v>
      </c>
      <c r="V6" t="b">
        <v>1</v>
      </c>
      <c r="W6" t="b">
        <v>1</v>
      </c>
      <c r="X6" t="s">
        <v>171</v>
      </c>
      <c r="Y6" t="s">
        <v>176</v>
      </c>
      <c r="Z6" t="s">
        <v>177</v>
      </c>
      <c r="AA6" t="s">
        <v>178</v>
      </c>
      <c r="AB6" t="s">
        <v>179</v>
      </c>
      <c r="AC6" t="s">
        <v>180</v>
      </c>
      <c r="AD6" t="s">
        <v>181</v>
      </c>
      <c r="AE6" t="s">
        <v>182</v>
      </c>
      <c r="AF6" t="s">
        <v>71</v>
      </c>
      <c r="AG6" t="s">
        <v>183</v>
      </c>
      <c r="AH6" t="s">
        <v>184</v>
      </c>
      <c r="AI6" t="s">
        <v>176</v>
      </c>
      <c r="AJ6" t="s">
        <v>177</v>
      </c>
      <c r="AK6" t="s">
        <v>178</v>
      </c>
      <c r="AL6" t="s">
        <v>179</v>
      </c>
      <c r="AM6" t="s">
        <v>180</v>
      </c>
      <c r="AN6" t="s">
        <v>181</v>
      </c>
      <c r="AO6" t="s">
        <v>182</v>
      </c>
      <c r="AP6" t="s">
        <v>71</v>
      </c>
      <c r="AQ6" t="s">
        <v>183</v>
      </c>
      <c r="AR6" t="s">
        <v>184</v>
      </c>
      <c r="AY6" t="s">
        <v>185</v>
      </c>
      <c r="BD6">
        <v>0</v>
      </c>
      <c r="BQ6" t="str">
        <f>VLOOKUP($AY6,States!$B$4:$AZ$2000,MATCH(AP6,States!$B$3:$AZ$3,FALSE),FALSE)</f>
        <v>Greg Ambrogi</v>
      </c>
      <c r="BR6" t="str">
        <f>VLOOKUP($BQ6,'Rep Contact info'!$B$3:$D$400,MATCH(BR$1,'Rep Contact info'!$B$2:$D$2,FALSE),FALSE)</f>
        <v>(610) 420-3842</v>
      </c>
      <c r="BS6" t="str">
        <f>VLOOKUP($BQ6,'Rep Contact info'!$B$3:$D$400,MATCH(BS$1,'Rep Contact info'!$B$2:$D$2,FALSE),FALSE)</f>
        <v>grambrog24@gmail.com</v>
      </c>
    </row>
    <row r="7" spans="1:71" x14ac:dyDescent="0.35">
      <c r="A7" t="s">
        <v>168</v>
      </c>
      <c r="B7" t="s">
        <v>169</v>
      </c>
      <c r="P7" s="1">
        <v>44036.768055555556</v>
      </c>
      <c r="Q7">
        <v>1</v>
      </c>
      <c r="R7" t="s">
        <v>193</v>
      </c>
      <c r="S7">
        <v>0</v>
      </c>
      <c r="U7">
        <v>500415</v>
      </c>
      <c r="V7" t="b">
        <v>1</v>
      </c>
      <c r="W7" t="b">
        <v>0</v>
      </c>
      <c r="X7" t="s">
        <v>171</v>
      </c>
      <c r="Y7" t="s">
        <v>176</v>
      </c>
      <c r="Z7" t="s">
        <v>177</v>
      </c>
      <c r="AA7" t="s">
        <v>178</v>
      </c>
      <c r="AB7" t="s">
        <v>179</v>
      </c>
      <c r="AC7" t="s">
        <v>180</v>
      </c>
      <c r="AD7" t="s">
        <v>181</v>
      </c>
      <c r="AE7" t="s">
        <v>182</v>
      </c>
      <c r="AF7" t="s">
        <v>71</v>
      </c>
      <c r="AG7" t="s">
        <v>183</v>
      </c>
      <c r="AH7" t="s">
        <v>184</v>
      </c>
      <c r="AI7" t="s">
        <v>176</v>
      </c>
      <c r="AJ7" t="s">
        <v>177</v>
      </c>
      <c r="AK7" t="s">
        <v>178</v>
      </c>
      <c r="AL7" t="s">
        <v>179</v>
      </c>
      <c r="AM7" t="s">
        <v>180</v>
      </c>
      <c r="AN7" t="s">
        <v>181</v>
      </c>
      <c r="AO7" t="s">
        <v>182</v>
      </c>
      <c r="AP7" t="s">
        <v>71</v>
      </c>
      <c r="AQ7" t="s">
        <v>183</v>
      </c>
      <c r="AR7" t="s">
        <v>184</v>
      </c>
      <c r="AY7" t="s">
        <v>194</v>
      </c>
      <c r="BD7">
        <v>0</v>
      </c>
      <c r="BQ7" t="str">
        <f>VLOOKUP($AY7,States!$B$4:$AZ$2000,MATCH(AP7,States!$B$3:$AZ$3,FALSE),FALSE)</f>
        <v>Nick Cisler</v>
      </c>
      <c r="BR7" t="str">
        <f>VLOOKUP($BQ7,'Rep Contact info'!$B$3:$D$400,MATCH(BR$1,'Rep Contact info'!$B$2:$D$2,FALSE),FALSE)</f>
        <v>(215) 435-4353</v>
      </c>
      <c r="BS7" t="str">
        <f>VLOOKUP($BQ7,'Rep Contact info'!$B$3:$D$400,MATCH(BS$1,'Rep Contact info'!$B$2:$D$2,FALSE),FALSE)</f>
        <v>ncisler@gmail.com</v>
      </c>
    </row>
    <row r="8" spans="1:71" x14ac:dyDescent="0.35">
      <c r="A8" t="s">
        <v>168</v>
      </c>
      <c r="B8" t="s">
        <v>169</v>
      </c>
      <c r="P8" s="1">
        <v>44036.768055555556</v>
      </c>
      <c r="Q8">
        <v>1</v>
      </c>
      <c r="R8" t="s">
        <v>195</v>
      </c>
      <c r="S8">
        <v>0</v>
      </c>
      <c r="U8">
        <v>500453</v>
      </c>
      <c r="V8" t="b">
        <v>1</v>
      </c>
      <c r="W8" t="b">
        <v>0</v>
      </c>
      <c r="X8" t="s">
        <v>171</v>
      </c>
      <c r="Y8" t="s">
        <v>176</v>
      </c>
      <c r="Z8" t="s">
        <v>177</v>
      </c>
      <c r="AA8" t="s">
        <v>178</v>
      </c>
      <c r="AB8" t="s">
        <v>179</v>
      </c>
      <c r="AC8" t="s">
        <v>180</v>
      </c>
      <c r="AD8" t="s">
        <v>181</v>
      </c>
      <c r="AE8" t="s">
        <v>182</v>
      </c>
      <c r="AF8" t="s">
        <v>71</v>
      </c>
      <c r="AG8" t="s">
        <v>183</v>
      </c>
      <c r="AH8" t="s">
        <v>184</v>
      </c>
      <c r="AI8" t="s">
        <v>176</v>
      </c>
      <c r="AJ8" t="s">
        <v>177</v>
      </c>
      <c r="AK8" t="s">
        <v>178</v>
      </c>
      <c r="AL8" t="s">
        <v>179</v>
      </c>
      <c r="AM8" t="s">
        <v>180</v>
      </c>
      <c r="AN8" t="s">
        <v>181</v>
      </c>
      <c r="AO8" t="s">
        <v>182</v>
      </c>
      <c r="AP8" t="s">
        <v>71</v>
      </c>
      <c r="AQ8" t="s">
        <v>183</v>
      </c>
      <c r="AR8" t="s">
        <v>184</v>
      </c>
      <c r="AY8" t="s">
        <v>194</v>
      </c>
      <c r="BD8">
        <v>0</v>
      </c>
      <c r="BQ8" t="str">
        <f>VLOOKUP($AY8,States!$B$4:$AZ$2000,MATCH(AP8,States!$B$3:$AZ$3,FALSE),FALSE)</f>
        <v>Nick Cisler</v>
      </c>
      <c r="BR8" t="str">
        <f>VLOOKUP($BQ8,'Rep Contact info'!$B$3:$D$400,MATCH(BR$1,'Rep Contact info'!$B$2:$D$2,FALSE),FALSE)</f>
        <v>(215) 435-4353</v>
      </c>
      <c r="BS8" t="str">
        <f>VLOOKUP($BQ8,'Rep Contact info'!$B$3:$D$400,MATCH(BS$1,'Rep Contact info'!$B$2:$D$2,FALSE),FALSE)</f>
        <v>ncisler@gmail.com</v>
      </c>
    </row>
    <row r="9" spans="1:71" x14ac:dyDescent="0.35">
      <c r="A9" t="s">
        <v>168</v>
      </c>
      <c r="B9" t="s">
        <v>169</v>
      </c>
      <c r="P9" s="1">
        <v>44036.768055555556</v>
      </c>
      <c r="Q9">
        <v>1</v>
      </c>
      <c r="R9" t="s">
        <v>196</v>
      </c>
      <c r="S9">
        <v>0</v>
      </c>
      <c r="V9" t="b">
        <v>1</v>
      </c>
      <c r="W9" t="b">
        <v>0</v>
      </c>
      <c r="X9" t="s">
        <v>171</v>
      </c>
      <c r="Y9" t="s">
        <v>176</v>
      </c>
      <c r="Z9" t="s">
        <v>177</v>
      </c>
      <c r="AA9" t="s">
        <v>178</v>
      </c>
      <c r="AB9" t="s">
        <v>179</v>
      </c>
      <c r="AC9" t="s">
        <v>180</v>
      </c>
      <c r="AD9" t="s">
        <v>181</v>
      </c>
      <c r="AE9" t="s">
        <v>182</v>
      </c>
      <c r="AF9" t="s">
        <v>71</v>
      </c>
      <c r="AG9" t="s">
        <v>183</v>
      </c>
      <c r="AH9" t="s">
        <v>184</v>
      </c>
      <c r="AI9" t="s">
        <v>176</v>
      </c>
      <c r="AJ9" t="s">
        <v>177</v>
      </c>
      <c r="AK9" t="s">
        <v>178</v>
      </c>
      <c r="AL9" t="s">
        <v>179</v>
      </c>
      <c r="AM9" t="s">
        <v>180</v>
      </c>
      <c r="AN9" t="s">
        <v>181</v>
      </c>
      <c r="AO9" t="s">
        <v>182</v>
      </c>
      <c r="AP9" t="s">
        <v>71</v>
      </c>
      <c r="AQ9" t="s">
        <v>183</v>
      </c>
      <c r="AR9" t="s">
        <v>184</v>
      </c>
      <c r="AY9" t="s">
        <v>194</v>
      </c>
      <c r="BD9">
        <v>0</v>
      </c>
      <c r="BQ9" t="str">
        <f>VLOOKUP($AY9,States!$B$4:$AZ$2000,MATCH(AP9,States!$B$3:$AZ$3,FALSE),FALSE)</f>
        <v>Nick Cisler</v>
      </c>
      <c r="BR9" t="str">
        <f>VLOOKUP($BQ9,'Rep Contact info'!$B$3:$D$400,MATCH(BR$1,'Rep Contact info'!$B$2:$D$2,FALSE),FALSE)</f>
        <v>(215) 435-4353</v>
      </c>
      <c r="BS9" t="str">
        <f>VLOOKUP($BQ9,'Rep Contact info'!$B$3:$D$400,MATCH(BS$1,'Rep Contact info'!$B$2:$D$2,FALSE),FALSE)</f>
        <v>ncisler@gmail.com</v>
      </c>
    </row>
    <row r="10" spans="1:71" x14ac:dyDescent="0.35">
      <c r="A10" t="s">
        <v>168</v>
      </c>
      <c r="B10" t="s">
        <v>169</v>
      </c>
      <c r="P10" s="1">
        <v>44036.768055555556</v>
      </c>
      <c r="Q10">
        <v>1</v>
      </c>
      <c r="R10" t="s">
        <v>197</v>
      </c>
      <c r="S10">
        <v>0</v>
      </c>
      <c r="U10">
        <v>500414</v>
      </c>
      <c r="V10" t="b">
        <v>1</v>
      </c>
      <c r="W10" t="b">
        <v>0</v>
      </c>
      <c r="X10" t="s">
        <v>171</v>
      </c>
      <c r="Y10" t="s">
        <v>176</v>
      </c>
      <c r="Z10" t="s">
        <v>177</v>
      </c>
      <c r="AA10" t="s">
        <v>178</v>
      </c>
      <c r="AB10" t="s">
        <v>179</v>
      </c>
      <c r="AC10" t="s">
        <v>180</v>
      </c>
      <c r="AD10" t="s">
        <v>181</v>
      </c>
      <c r="AE10" t="s">
        <v>182</v>
      </c>
      <c r="AF10" t="s">
        <v>71</v>
      </c>
      <c r="AG10" t="s">
        <v>183</v>
      </c>
      <c r="AH10" t="s">
        <v>184</v>
      </c>
      <c r="AI10" t="s">
        <v>176</v>
      </c>
      <c r="AJ10" t="s">
        <v>177</v>
      </c>
      <c r="AK10" t="s">
        <v>178</v>
      </c>
      <c r="AL10" t="s">
        <v>179</v>
      </c>
      <c r="AM10" t="s">
        <v>180</v>
      </c>
      <c r="AN10" t="s">
        <v>181</v>
      </c>
      <c r="AO10" t="s">
        <v>182</v>
      </c>
      <c r="AP10" t="s">
        <v>71</v>
      </c>
      <c r="AQ10" t="s">
        <v>183</v>
      </c>
      <c r="AR10" t="s">
        <v>184</v>
      </c>
      <c r="AY10" t="s">
        <v>194</v>
      </c>
      <c r="BD10">
        <v>0</v>
      </c>
      <c r="BQ10" t="str">
        <f>VLOOKUP($AY10,States!$B$4:$AZ$2000,MATCH(AP10,States!$B$3:$AZ$3,FALSE),FALSE)</f>
        <v>Nick Cisler</v>
      </c>
      <c r="BR10" t="str">
        <f>VLOOKUP($BQ10,'Rep Contact info'!$B$3:$D$400,MATCH(BR$1,'Rep Contact info'!$B$2:$D$2,FALSE),FALSE)</f>
        <v>(215) 435-4353</v>
      </c>
      <c r="BS10" t="str">
        <f>VLOOKUP($BQ10,'Rep Contact info'!$B$3:$D$400,MATCH(BS$1,'Rep Contact info'!$B$2:$D$2,FALSE),FALSE)</f>
        <v>ncisler@gmail.com</v>
      </c>
    </row>
    <row r="11" spans="1:71" x14ac:dyDescent="0.35">
      <c r="A11" t="s">
        <v>168</v>
      </c>
      <c r="B11" t="s">
        <v>169</v>
      </c>
      <c r="P11" s="1">
        <v>44036.768055555556</v>
      </c>
      <c r="Q11">
        <v>1</v>
      </c>
      <c r="R11" t="s">
        <v>198</v>
      </c>
      <c r="S11">
        <v>0</v>
      </c>
      <c r="U11">
        <v>100217</v>
      </c>
      <c r="V11" t="b">
        <v>1</v>
      </c>
      <c r="W11" t="b">
        <v>0</v>
      </c>
      <c r="X11" t="s">
        <v>171</v>
      </c>
      <c r="Y11" t="s">
        <v>176</v>
      </c>
      <c r="Z11" t="s">
        <v>177</v>
      </c>
      <c r="AA11" t="s">
        <v>178</v>
      </c>
      <c r="AB11" t="s">
        <v>179</v>
      </c>
      <c r="AC11" t="s">
        <v>180</v>
      </c>
      <c r="AD11" t="s">
        <v>181</v>
      </c>
      <c r="AE11" t="s">
        <v>182</v>
      </c>
      <c r="AF11" t="s">
        <v>71</v>
      </c>
      <c r="AG11" t="s">
        <v>183</v>
      </c>
      <c r="AH11" t="s">
        <v>184</v>
      </c>
      <c r="AI11" t="s">
        <v>176</v>
      </c>
      <c r="AJ11" t="s">
        <v>177</v>
      </c>
      <c r="AK11" t="s">
        <v>178</v>
      </c>
      <c r="AL11" t="s">
        <v>179</v>
      </c>
      <c r="AM11" t="s">
        <v>180</v>
      </c>
      <c r="AN11" t="s">
        <v>181</v>
      </c>
      <c r="AO11" t="s">
        <v>182</v>
      </c>
      <c r="AP11" t="s">
        <v>71</v>
      </c>
      <c r="AQ11" t="s">
        <v>183</v>
      </c>
      <c r="AR11" t="s">
        <v>184</v>
      </c>
      <c r="AY11" t="s">
        <v>189</v>
      </c>
      <c r="BD11">
        <v>0</v>
      </c>
      <c r="BQ11" t="str">
        <f>VLOOKUP($AY11,States!$B$4:$AZ$2000,MATCH(AP11,States!$B$3:$AZ$3,FALSE),FALSE)</f>
        <v>Nick Cisler</v>
      </c>
      <c r="BR11" t="str">
        <f>VLOOKUP($BQ11,'Rep Contact info'!$B$3:$D$400,MATCH(BR$1,'Rep Contact info'!$B$2:$D$2,FALSE),FALSE)</f>
        <v>(215) 435-4353</v>
      </c>
      <c r="BS11" t="str">
        <f>VLOOKUP($BQ11,'Rep Contact info'!$B$3:$D$400,MATCH(BS$1,'Rep Contact info'!$B$2:$D$2,FALSE),FALSE)</f>
        <v>ncisler@gmail.com</v>
      </c>
    </row>
    <row r="12" spans="1:71" x14ac:dyDescent="0.35">
      <c r="A12" t="s">
        <v>168</v>
      </c>
      <c r="B12" t="s">
        <v>169</v>
      </c>
      <c r="P12" s="1">
        <v>44036.768055555556</v>
      </c>
      <c r="Q12">
        <v>1</v>
      </c>
      <c r="R12" t="s">
        <v>199</v>
      </c>
      <c r="S12">
        <v>0</v>
      </c>
      <c r="U12">
        <v>100230</v>
      </c>
      <c r="V12" t="b">
        <v>1</v>
      </c>
      <c r="W12" t="b">
        <v>0</v>
      </c>
      <c r="X12" t="s">
        <v>171</v>
      </c>
      <c r="Y12" t="s">
        <v>176</v>
      </c>
      <c r="Z12" t="s">
        <v>177</v>
      </c>
      <c r="AA12" t="s">
        <v>178</v>
      </c>
      <c r="AB12" t="s">
        <v>179</v>
      </c>
      <c r="AC12" t="s">
        <v>180</v>
      </c>
      <c r="AD12" t="s">
        <v>181</v>
      </c>
      <c r="AE12" t="s">
        <v>182</v>
      </c>
      <c r="AF12" t="s">
        <v>71</v>
      </c>
      <c r="AG12" t="s">
        <v>183</v>
      </c>
      <c r="AH12" t="s">
        <v>184</v>
      </c>
      <c r="AI12" t="s">
        <v>176</v>
      </c>
      <c r="AJ12" t="s">
        <v>177</v>
      </c>
      <c r="AK12" t="s">
        <v>178</v>
      </c>
      <c r="AL12" t="s">
        <v>179</v>
      </c>
      <c r="AM12" t="s">
        <v>180</v>
      </c>
      <c r="AN12" t="s">
        <v>181</v>
      </c>
      <c r="AO12" t="s">
        <v>182</v>
      </c>
      <c r="AP12" t="s">
        <v>71</v>
      </c>
      <c r="AQ12" t="s">
        <v>183</v>
      </c>
      <c r="AR12" t="s">
        <v>184</v>
      </c>
      <c r="AY12" t="s">
        <v>189</v>
      </c>
      <c r="BD12">
        <v>0</v>
      </c>
      <c r="BQ12" t="str">
        <f>VLOOKUP($AY12,States!$B$4:$AZ$2000,MATCH(AP12,States!$B$3:$AZ$3,FALSE),FALSE)</f>
        <v>Nick Cisler</v>
      </c>
      <c r="BR12" t="str">
        <f>VLOOKUP($BQ12,'Rep Contact info'!$B$3:$D$400,MATCH(BR$1,'Rep Contact info'!$B$2:$D$2,FALSE),FALSE)</f>
        <v>(215) 435-4353</v>
      </c>
      <c r="BS12" t="str">
        <f>VLOOKUP($BQ12,'Rep Contact info'!$B$3:$D$400,MATCH(BS$1,'Rep Contact info'!$B$2:$D$2,FALSE),FALSE)</f>
        <v>ncisler@gmail.com</v>
      </c>
    </row>
    <row r="13" spans="1:71" x14ac:dyDescent="0.35">
      <c r="A13" t="s">
        <v>168</v>
      </c>
      <c r="B13" t="s">
        <v>169</v>
      </c>
      <c r="P13" s="1">
        <v>44036.768055555556</v>
      </c>
      <c r="Q13">
        <v>1</v>
      </c>
      <c r="R13" t="s">
        <v>200</v>
      </c>
      <c r="S13">
        <v>0</v>
      </c>
      <c r="U13">
        <v>100173</v>
      </c>
      <c r="V13" t="b">
        <v>1</v>
      </c>
      <c r="W13" t="b">
        <v>0</v>
      </c>
      <c r="X13" t="s">
        <v>171</v>
      </c>
      <c r="Y13" t="s">
        <v>176</v>
      </c>
      <c r="Z13" t="s">
        <v>177</v>
      </c>
      <c r="AA13" t="s">
        <v>178</v>
      </c>
      <c r="AB13" t="s">
        <v>179</v>
      </c>
      <c r="AC13" t="s">
        <v>180</v>
      </c>
      <c r="AD13" t="s">
        <v>181</v>
      </c>
      <c r="AE13" t="s">
        <v>182</v>
      </c>
      <c r="AF13" t="s">
        <v>71</v>
      </c>
      <c r="AG13" t="s">
        <v>183</v>
      </c>
      <c r="AH13" t="s">
        <v>184</v>
      </c>
      <c r="AI13" t="s">
        <v>176</v>
      </c>
      <c r="AJ13" t="s">
        <v>177</v>
      </c>
      <c r="AK13" t="s">
        <v>178</v>
      </c>
      <c r="AL13" t="s">
        <v>179</v>
      </c>
      <c r="AM13" t="s">
        <v>180</v>
      </c>
      <c r="AN13" t="s">
        <v>181</v>
      </c>
      <c r="AO13" t="s">
        <v>182</v>
      </c>
      <c r="AP13" t="s">
        <v>71</v>
      </c>
      <c r="AQ13" t="s">
        <v>183</v>
      </c>
      <c r="AR13" t="s">
        <v>184</v>
      </c>
      <c r="AY13" t="s">
        <v>189</v>
      </c>
      <c r="BD13">
        <v>0</v>
      </c>
      <c r="BQ13" t="str">
        <f>VLOOKUP($AY13,States!$B$4:$AZ$2000,MATCH(AP13,States!$B$3:$AZ$3,FALSE),FALSE)</f>
        <v>Nick Cisler</v>
      </c>
      <c r="BR13" t="str">
        <f>VLOOKUP($BQ13,'Rep Contact info'!$B$3:$D$400,MATCH(BR$1,'Rep Contact info'!$B$2:$D$2,FALSE),FALSE)</f>
        <v>(215) 435-4353</v>
      </c>
      <c r="BS13" t="str">
        <f>VLOOKUP($BQ13,'Rep Contact info'!$B$3:$D$400,MATCH(BS$1,'Rep Contact info'!$B$2:$D$2,FALSE),FALSE)</f>
        <v>ncisler@gmail.com</v>
      </c>
    </row>
    <row r="14" spans="1:71" x14ac:dyDescent="0.35">
      <c r="A14" t="s">
        <v>168</v>
      </c>
      <c r="B14" t="s">
        <v>169</v>
      </c>
      <c r="P14" s="1">
        <v>44036.768055555556</v>
      </c>
      <c r="Q14">
        <v>1</v>
      </c>
      <c r="R14" t="s">
        <v>201</v>
      </c>
      <c r="S14">
        <v>0</v>
      </c>
      <c r="U14">
        <v>100281</v>
      </c>
      <c r="V14" t="b">
        <v>1</v>
      </c>
      <c r="W14" t="b">
        <v>0</v>
      </c>
      <c r="X14" t="s">
        <v>171</v>
      </c>
      <c r="Y14" t="s">
        <v>176</v>
      </c>
      <c r="Z14" t="s">
        <v>177</v>
      </c>
      <c r="AA14" t="s">
        <v>178</v>
      </c>
      <c r="AB14" t="s">
        <v>179</v>
      </c>
      <c r="AC14" t="s">
        <v>180</v>
      </c>
      <c r="AD14" t="s">
        <v>181</v>
      </c>
      <c r="AE14" t="s">
        <v>182</v>
      </c>
      <c r="AF14" t="s">
        <v>71</v>
      </c>
      <c r="AG14" t="s">
        <v>183</v>
      </c>
      <c r="AH14" t="s">
        <v>184</v>
      </c>
      <c r="AI14" t="s">
        <v>176</v>
      </c>
      <c r="AJ14" t="s">
        <v>177</v>
      </c>
      <c r="AK14" t="s">
        <v>178</v>
      </c>
      <c r="AL14" t="s">
        <v>179</v>
      </c>
      <c r="AM14" t="s">
        <v>180</v>
      </c>
      <c r="AN14" t="s">
        <v>181</v>
      </c>
      <c r="AO14" t="s">
        <v>182</v>
      </c>
      <c r="AP14" t="s">
        <v>71</v>
      </c>
      <c r="AQ14" t="s">
        <v>183</v>
      </c>
      <c r="AR14" t="s">
        <v>184</v>
      </c>
      <c r="AY14" t="s">
        <v>189</v>
      </c>
      <c r="BD14">
        <v>0</v>
      </c>
      <c r="BQ14" t="str">
        <f>VLOOKUP($AY14,States!$B$4:$AZ$2000,MATCH(AP14,States!$B$3:$AZ$3,FALSE),FALSE)</f>
        <v>Nick Cisler</v>
      </c>
      <c r="BR14" t="str">
        <f>VLOOKUP($BQ14,'Rep Contact info'!$B$3:$D$400,MATCH(BR$1,'Rep Contact info'!$B$2:$D$2,FALSE),FALSE)</f>
        <v>(215) 435-4353</v>
      </c>
      <c r="BS14" t="str">
        <f>VLOOKUP($BQ14,'Rep Contact info'!$B$3:$D$400,MATCH(BS$1,'Rep Contact info'!$B$2:$D$2,FALSE),FALSE)</f>
        <v>ncisler@gmail.com</v>
      </c>
    </row>
    <row r="15" spans="1:71" x14ac:dyDescent="0.35">
      <c r="A15" t="s">
        <v>168</v>
      </c>
      <c r="B15" t="s">
        <v>169</v>
      </c>
      <c r="P15" s="1">
        <v>44036.768055555556</v>
      </c>
      <c r="Q15">
        <v>2</v>
      </c>
      <c r="R15" t="s">
        <v>202</v>
      </c>
      <c r="S15">
        <v>0</v>
      </c>
      <c r="U15">
        <v>4347</v>
      </c>
      <c r="V15" t="b">
        <v>1</v>
      </c>
      <c r="W15" t="b">
        <v>0</v>
      </c>
      <c r="X15" t="s">
        <v>171</v>
      </c>
      <c r="Y15" t="s">
        <v>176</v>
      </c>
      <c r="Z15" t="s">
        <v>177</v>
      </c>
      <c r="AA15" t="s">
        <v>178</v>
      </c>
      <c r="AB15" t="s">
        <v>179</v>
      </c>
      <c r="AC15" t="s">
        <v>180</v>
      </c>
      <c r="AD15" t="s">
        <v>181</v>
      </c>
      <c r="AE15" t="s">
        <v>182</v>
      </c>
      <c r="AF15" t="s">
        <v>71</v>
      </c>
      <c r="AG15" t="s">
        <v>183</v>
      </c>
      <c r="AH15" t="s">
        <v>184</v>
      </c>
      <c r="AI15" t="s">
        <v>176</v>
      </c>
      <c r="AJ15" t="s">
        <v>177</v>
      </c>
      <c r="AK15" t="s">
        <v>178</v>
      </c>
      <c r="AL15" t="s">
        <v>179</v>
      </c>
      <c r="AM15" t="s">
        <v>180</v>
      </c>
      <c r="AN15" t="s">
        <v>181</v>
      </c>
      <c r="AO15" t="s">
        <v>182</v>
      </c>
      <c r="AP15" t="s">
        <v>71</v>
      </c>
      <c r="AQ15" t="s">
        <v>183</v>
      </c>
      <c r="AR15" t="s">
        <v>184</v>
      </c>
      <c r="AY15" t="s">
        <v>185</v>
      </c>
      <c r="BD15">
        <v>0</v>
      </c>
      <c r="BQ15" t="str">
        <f>VLOOKUP($AY15,States!$B$4:$AZ$2000,MATCH(AP15,States!$B$3:$AZ$3,FALSE),FALSE)</f>
        <v>Greg Ambrogi</v>
      </c>
      <c r="BR15" t="str">
        <f>VLOOKUP($BQ15,'Rep Contact info'!$B$3:$D$400,MATCH(BR$1,'Rep Contact info'!$B$2:$D$2,FALSE),FALSE)</f>
        <v>(610) 420-3842</v>
      </c>
      <c r="BS15" t="str">
        <f>VLOOKUP($BQ15,'Rep Contact info'!$B$3:$D$400,MATCH(BS$1,'Rep Contact info'!$B$2:$D$2,FALSE),FALSE)</f>
        <v>grambrog24@gmail.com</v>
      </c>
    </row>
    <row r="16" spans="1:71" x14ac:dyDescent="0.35">
      <c r="A16" t="s">
        <v>168</v>
      </c>
      <c r="B16" t="s">
        <v>169</v>
      </c>
      <c r="P16" s="1">
        <v>44036.768055555556</v>
      </c>
      <c r="Q16">
        <v>2</v>
      </c>
      <c r="R16" t="s">
        <v>203</v>
      </c>
      <c r="S16">
        <v>0</v>
      </c>
      <c r="U16">
        <v>4335</v>
      </c>
      <c r="V16" t="b">
        <v>1</v>
      </c>
      <c r="W16" t="b">
        <v>0</v>
      </c>
      <c r="X16" t="s">
        <v>171</v>
      </c>
      <c r="Y16" t="s">
        <v>176</v>
      </c>
      <c r="Z16" t="s">
        <v>177</v>
      </c>
      <c r="AA16" t="s">
        <v>178</v>
      </c>
      <c r="AB16" t="s">
        <v>179</v>
      </c>
      <c r="AC16" t="s">
        <v>180</v>
      </c>
      <c r="AD16" t="s">
        <v>181</v>
      </c>
      <c r="AE16" t="s">
        <v>182</v>
      </c>
      <c r="AF16" t="s">
        <v>71</v>
      </c>
      <c r="AG16" t="s">
        <v>183</v>
      </c>
      <c r="AH16" t="s">
        <v>184</v>
      </c>
      <c r="AI16" t="s">
        <v>176</v>
      </c>
      <c r="AJ16" t="s">
        <v>177</v>
      </c>
      <c r="AK16" t="s">
        <v>178</v>
      </c>
      <c r="AL16" t="s">
        <v>179</v>
      </c>
      <c r="AM16" t="s">
        <v>180</v>
      </c>
      <c r="AN16" t="s">
        <v>181</v>
      </c>
      <c r="AO16" t="s">
        <v>182</v>
      </c>
      <c r="AP16" t="s">
        <v>71</v>
      </c>
      <c r="AQ16" t="s">
        <v>183</v>
      </c>
      <c r="AR16" t="s">
        <v>184</v>
      </c>
      <c r="AY16" t="s">
        <v>185</v>
      </c>
      <c r="BD16">
        <v>0</v>
      </c>
      <c r="BQ16" t="str">
        <f>VLOOKUP($AY16,States!$B$4:$AZ$2000,MATCH(AP16,States!$B$3:$AZ$3,FALSE),FALSE)</f>
        <v>Greg Ambrogi</v>
      </c>
      <c r="BR16" t="str">
        <f>VLOOKUP($BQ16,'Rep Contact info'!$B$3:$D$400,MATCH(BR$1,'Rep Contact info'!$B$2:$D$2,FALSE),FALSE)</f>
        <v>(610) 420-3842</v>
      </c>
      <c r="BS16" t="str">
        <f>VLOOKUP($BQ16,'Rep Contact info'!$B$3:$D$400,MATCH(BS$1,'Rep Contact info'!$B$2:$D$2,FALSE),FALSE)</f>
        <v>grambrog24@gmail.com</v>
      </c>
    </row>
    <row r="17" spans="1:71" x14ac:dyDescent="0.35">
      <c r="A17" t="s">
        <v>168</v>
      </c>
      <c r="B17" t="s">
        <v>169</v>
      </c>
      <c r="P17" s="1">
        <v>44036.768055555556</v>
      </c>
      <c r="Q17">
        <v>1</v>
      </c>
      <c r="R17" t="s">
        <v>204</v>
      </c>
      <c r="S17">
        <v>0</v>
      </c>
      <c r="V17" t="b">
        <v>1</v>
      </c>
      <c r="W17" t="b">
        <v>0</v>
      </c>
      <c r="X17" t="s">
        <v>171</v>
      </c>
      <c r="Y17" t="s">
        <v>176</v>
      </c>
      <c r="Z17" t="s">
        <v>177</v>
      </c>
      <c r="AA17" t="s">
        <v>178</v>
      </c>
      <c r="AB17" t="s">
        <v>179</v>
      </c>
      <c r="AC17" t="s">
        <v>180</v>
      </c>
      <c r="AD17" t="s">
        <v>181</v>
      </c>
      <c r="AE17" t="s">
        <v>182</v>
      </c>
      <c r="AF17" t="s">
        <v>71</v>
      </c>
      <c r="AG17" t="s">
        <v>183</v>
      </c>
      <c r="AH17" t="s">
        <v>184</v>
      </c>
      <c r="AI17" t="s">
        <v>176</v>
      </c>
      <c r="AJ17" t="s">
        <v>177</v>
      </c>
      <c r="AK17" t="s">
        <v>178</v>
      </c>
      <c r="AL17" t="s">
        <v>179</v>
      </c>
      <c r="AM17" t="s">
        <v>180</v>
      </c>
      <c r="AN17" t="s">
        <v>181</v>
      </c>
      <c r="AO17" t="s">
        <v>182</v>
      </c>
      <c r="AP17" t="s">
        <v>71</v>
      </c>
      <c r="AQ17" t="s">
        <v>183</v>
      </c>
      <c r="AR17" t="s">
        <v>184</v>
      </c>
      <c r="AY17" t="s">
        <v>194</v>
      </c>
      <c r="BD17">
        <v>0</v>
      </c>
      <c r="BQ17" t="str">
        <f>VLOOKUP($AY17,States!$B$4:$AZ$2000,MATCH(AP17,States!$B$3:$AZ$3,FALSE),FALSE)</f>
        <v>Nick Cisler</v>
      </c>
      <c r="BR17" t="str">
        <f>VLOOKUP($BQ17,'Rep Contact info'!$B$3:$D$400,MATCH(BR$1,'Rep Contact info'!$B$2:$D$2,FALSE),FALSE)</f>
        <v>(215) 435-4353</v>
      </c>
      <c r="BS17" t="str">
        <f>VLOOKUP($BQ17,'Rep Contact info'!$B$3:$D$400,MATCH(BS$1,'Rep Contact info'!$B$2:$D$2,FALSE),FALSE)</f>
        <v>ncisler@gmail.com</v>
      </c>
    </row>
    <row r="18" spans="1:71" x14ac:dyDescent="0.35">
      <c r="A18" t="s">
        <v>168</v>
      </c>
      <c r="B18" t="s">
        <v>169</v>
      </c>
      <c r="P18" s="1">
        <v>44036.768055555556</v>
      </c>
      <c r="Q18">
        <v>1</v>
      </c>
      <c r="R18" t="s">
        <v>205</v>
      </c>
      <c r="S18">
        <v>0</v>
      </c>
      <c r="V18" t="b">
        <v>1</v>
      </c>
      <c r="W18" t="b">
        <v>0</v>
      </c>
      <c r="X18" t="s">
        <v>171</v>
      </c>
      <c r="Y18" t="s">
        <v>176</v>
      </c>
      <c r="Z18" t="s">
        <v>177</v>
      </c>
      <c r="AA18" t="s">
        <v>178</v>
      </c>
      <c r="AB18" t="s">
        <v>179</v>
      </c>
      <c r="AC18" t="s">
        <v>180</v>
      </c>
      <c r="AD18" t="s">
        <v>181</v>
      </c>
      <c r="AE18" t="s">
        <v>182</v>
      </c>
      <c r="AF18" t="s">
        <v>71</v>
      </c>
      <c r="AG18" t="s">
        <v>183</v>
      </c>
      <c r="AH18" t="s">
        <v>184</v>
      </c>
      <c r="AI18" t="s">
        <v>176</v>
      </c>
      <c r="AJ18" t="s">
        <v>177</v>
      </c>
      <c r="AK18" t="s">
        <v>178</v>
      </c>
      <c r="AL18" t="s">
        <v>179</v>
      </c>
      <c r="AM18" t="s">
        <v>180</v>
      </c>
      <c r="AN18" t="s">
        <v>181</v>
      </c>
      <c r="AO18" t="s">
        <v>182</v>
      </c>
      <c r="AP18" t="s">
        <v>71</v>
      </c>
      <c r="AQ18" t="s">
        <v>183</v>
      </c>
      <c r="AR18" t="s">
        <v>184</v>
      </c>
      <c r="AY18" t="s">
        <v>194</v>
      </c>
      <c r="BD18">
        <v>0</v>
      </c>
      <c r="BQ18" t="str">
        <f>VLOOKUP($AY18,States!$B$4:$AZ$2000,MATCH(AP18,States!$B$3:$AZ$3,FALSE),FALSE)</f>
        <v>Nick Cisler</v>
      </c>
      <c r="BR18" t="str">
        <f>VLOOKUP($BQ18,'Rep Contact info'!$B$3:$D$400,MATCH(BR$1,'Rep Contact info'!$B$2:$D$2,FALSE),FALSE)</f>
        <v>(215) 435-4353</v>
      </c>
      <c r="BS18" t="str">
        <f>VLOOKUP($BQ18,'Rep Contact info'!$B$3:$D$400,MATCH(BS$1,'Rep Contact info'!$B$2:$D$2,FALSE),FALSE)</f>
        <v>ncisler@gmail.com</v>
      </c>
    </row>
    <row r="19" spans="1:71" x14ac:dyDescent="0.35">
      <c r="A19" t="s">
        <v>168</v>
      </c>
      <c r="B19" t="s">
        <v>169</v>
      </c>
      <c r="P19" s="1">
        <v>44036.768055555556</v>
      </c>
      <c r="Q19">
        <v>1</v>
      </c>
      <c r="R19" t="s">
        <v>206</v>
      </c>
      <c r="S19">
        <v>0</v>
      </c>
      <c r="U19">
        <v>100304</v>
      </c>
      <c r="V19" t="b">
        <v>1</v>
      </c>
      <c r="W19" t="b">
        <v>0</v>
      </c>
      <c r="X19" t="s">
        <v>171</v>
      </c>
      <c r="Y19" t="s">
        <v>176</v>
      </c>
      <c r="Z19" t="s">
        <v>177</v>
      </c>
      <c r="AA19" t="s">
        <v>178</v>
      </c>
      <c r="AB19" t="s">
        <v>179</v>
      </c>
      <c r="AC19" t="s">
        <v>180</v>
      </c>
      <c r="AD19" t="s">
        <v>181</v>
      </c>
      <c r="AE19" t="s">
        <v>182</v>
      </c>
      <c r="AF19" t="s">
        <v>71</v>
      </c>
      <c r="AG19" t="s">
        <v>183</v>
      </c>
      <c r="AH19" t="s">
        <v>184</v>
      </c>
      <c r="AI19" t="s">
        <v>176</v>
      </c>
      <c r="AJ19" t="s">
        <v>177</v>
      </c>
      <c r="AK19" t="s">
        <v>178</v>
      </c>
      <c r="AL19" t="s">
        <v>179</v>
      </c>
      <c r="AM19" t="s">
        <v>180</v>
      </c>
      <c r="AN19" t="s">
        <v>181</v>
      </c>
      <c r="AO19" t="s">
        <v>182</v>
      </c>
      <c r="AP19" t="s">
        <v>71</v>
      </c>
      <c r="AQ19" t="s">
        <v>183</v>
      </c>
      <c r="AR19" t="s">
        <v>184</v>
      </c>
      <c r="AY19" t="s">
        <v>189</v>
      </c>
      <c r="BD19">
        <v>0</v>
      </c>
      <c r="BQ19" t="str">
        <f>VLOOKUP($AY19,States!$B$4:$AZ$2000,MATCH(AP19,States!$B$3:$AZ$3,FALSE),FALSE)</f>
        <v>Nick Cisler</v>
      </c>
      <c r="BR19" t="str">
        <f>VLOOKUP($BQ19,'Rep Contact info'!$B$3:$D$400,MATCH(BR$1,'Rep Contact info'!$B$2:$D$2,FALSE),FALSE)</f>
        <v>(215) 435-4353</v>
      </c>
      <c r="BS19" t="str">
        <f>VLOOKUP($BQ19,'Rep Contact info'!$B$3:$D$400,MATCH(BS$1,'Rep Contact info'!$B$2:$D$2,FALSE),FALSE)</f>
        <v>ncisler@gmail.com</v>
      </c>
    </row>
    <row r="20" spans="1:71" x14ac:dyDescent="0.35">
      <c r="A20" t="s">
        <v>168</v>
      </c>
      <c r="B20" t="s">
        <v>169</v>
      </c>
      <c r="P20" s="1">
        <v>44036.768055555556</v>
      </c>
      <c r="Q20">
        <v>2</v>
      </c>
      <c r="R20" t="s">
        <v>207</v>
      </c>
      <c r="S20">
        <v>0</v>
      </c>
      <c r="U20">
        <v>100241</v>
      </c>
      <c r="V20" t="b">
        <v>1</v>
      </c>
      <c r="W20" t="b">
        <v>0</v>
      </c>
      <c r="X20" t="s">
        <v>171</v>
      </c>
      <c r="Y20" t="s">
        <v>176</v>
      </c>
      <c r="Z20" t="s">
        <v>177</v>
      </c>
      <c r="AA20" t="s">
        <v>178</v>
      </c>
      <c r="AB20" t="s">
        <v>179</v>
      </c>
      <c r="AC20" t="s">
        <v>180</v>
      </c>
      <c r="AD20" t="s">
        <v>181</v>
      </c>
      <c r="AE20" t="s">
        <v>182</v>
      </c>
      <c r="AF20" t="s">
        <v>71</v>
      </c>
      <c r="AG20" t="s">
        <v>183</v>
      </c>
      <c r="AH20" t="s">
        <v>184</v>
      </c>
      <c r="AI20" t="s">
        <v>176</v>
      </c>
      <c r="AJ20" t="s">
        <v>177</v>
      </c>
      <c r="AK20" t="s">
        <v>178</v>
      </c>
      <c r="AL20" t="s">
        <v>179</v>
      </c>
      <c r="AM20" t="s">
        <v>180</v>
      </c>
      <c r="AN20" t="s">
        <v>181</v>
      </c>
      <c r="AO20" t="s">
        <v>182</v>
      </c>
      <c r="AP20" t="s">
        <v>71</v>
      </c>
      <c r="AQ20" t="s">
        <v>183</v>
      </c>
      <c r="AR20" t="s">
        <v>184</v>
      </c>
      <c r="AY20" t="s">
        <v>189</v>
      </c>
      <c r="BD20">
        <v>0</v>
      </c>
      <c r="BQ20" t="str">
        <f>VLOOKUP($AY20,States!$B$4:$AZ$2000,MATCH(AP20,States!$B$3:$AZ$3,FALSE),FALSE)</f>
        <v>Nick Cisler</v>
      </c>
      <c r="BR20" t="str">
        <f>VLOOKUP($BQ20,'Rep Contact info'!$B$3:$D$400,MATCH(BR$1,'Rep Contact info'!$B$2:$D$2,FALSE),FALSE)</f>
        <v>(215) 435-4353</v>
      </c>
      <c r="BS20" t="str">
        <f>VLOOKUP($BQ20,'Rep Contact info'!$B$3:$D$400,MATCH(BS$1,'Rep Contact info'!$B$2:$D$2,FALSE),FALSE)</f>
        <v>ncisler@gmail.com</v>
      </c>
    </row>
    <row r="21" spans="1:71" x14ac:dyDescent="0.35">
      <c r="A21" t="s">
        <v>208</v>
      </c>
      <c r="B21" t="s">
        <v>209</v>
      </c>
      <c r="C21" t="s">
        <v>170</v>
      </c>
      <c r="E21" t="s">
        <v>171</v>
      </c>
      <c r="F21" s="1">
        <v>44032.645138888889</v>
      </c>
      <c r="G21" t="s">
        <v>172</v>
      </c>
      <c r="H21" t="s">
        <v>173</v>
      </c>
      <c r="I21">
        <v>0</v>
      </c>
      <c r="J21">
        <v>0</v>
      </c>
      <c r="K21">
        <v>0</v>
      </c>
      <c r="L21">
        <v>0</v>
      </c>
      <c r="N21">
        <v>0</v>
      </c>
      <c r="O21" t="s">
        <v>174</v>
      </c>
      <c r="P21" s="1">
        <v>44032.638194444444</v>
      </c>
      <c r="Q21">
        <v>1</v>
      </c>
      <c r="R21" t="s">
        <v>210</v>
      </c>
      <c r="S21">
        <v>0</v>
      </c>
      <c r="U21">
        <v>100385</v>
      </c>
      <c r="V21" t="b">
        <v>1</v>
      </c>
      <c r="W21" t="b">
        <v>0</v>
      </c>
      <c r="X21" t="s">
        <v>171</v>
      </c>
      <c r="Y21" t="s">
        <v>211</v>
      </c>
      <c r="Z21" t="s">
        <v>212</v>
      </c>
      <c r="AA21" t="s">
        <v>212</v>
      </c>
      <c r="AC21" t="s">
        <v>213</v>
      </c>
      <c r="AD21" t="s">
        <v>214</v>
      </c>
      <c r="AE21" t="s">
        <v>215</v>
      </c>
      <c r="AF21" t="s">
        <v>71</v>
      </c>
      <c r="AG21" t="s">
        <v>183</v>
      </c>
      <c r="AH21" t="s">
        <v>216</v>
      </c>
      <c r="AI21" t="s">
        <v>211</v>
      </c>
      <c r="AJ21" t="s">
        <v>212</v>
      </c>
      <c r="AK21" t="s">
        <v>212</v>
      </c>
      <c r="AM21" t="s">
        <v>213</v>
      </c>
      <c r="AN21" t="s">
        <v>214</v>
      </c>
      <c r="AO21" t="s">
        <v>215</v>
      </c>
      <c r="AP21" t="s">
        <v>71</v>
      </c>
      <c r="AQ21" t="s">
        <v>183</v>
      </c>
      <c r="AR21" t="s">
        <v>216</v>
      </c>
      <c r="AX21">
        <v>0</v>
      </c>
      <c r="AY21" t="s">
        <v>189</v>
      </c>
      <c r="AZ21" s="2">
        <v>2610000000000</v>
      </c>
      <c r="BB21" t="s">
        <v>186</v>
      </c>
      <c r="BC21" t="s">
        <v>187</v>
      </c>
      <c r="BD21">
        <v>0</v>
      </c>
      <c r="BQ21" t="str">
        <f>VLOOKUP($AY21,States!$B$4:$AZ$2000,MATCH(AP21,States!$B$3:$AZ$3,FALSE),FALSE)</f>
        <v>Nick Cisler</v>
      </c>
      <c r="BR21" t="str">
        <f>VLOOKUP($BQ21,'Rep Contact info'!$B$3:$D$400,MATCH(BR$1,'Rep Contact info'!$B$2:$D$2,FALSE),FALSE)</f>
        <v>(215) 435-4353</v>
      </c>
      <c r="BS21" t="str">
        <f>VLOOKUP($BQ21,'Rep Contact info'!$B$3:$D$400,MATCH(BS$1,'Rep Contact info'!$B$2:$D$2,FALSE),FALSE)</f>
        <v>ncisler@gmail.com</v>
      </c>
    </row>
    <row r="22" spans="1:71" x14ac:dyDescent="0.35">
      <c r="A22" t="s">
        <v>208</v>
      </c>
      <c r="B22" t="s">
        <v>209</v>
      </c>
      <c r="P22" s="1">
        <v>44032.638194444444</v>
      </c>
      <c r="Q22">
        <v>1</v>
      </c>
      <c r="R22" t="s">
        <v>217</v>
      </c>
      <c r="S22">
        <v>0</v>
      </c>
      <c r="U22">
        <v>100364</v>
      </c>
      <c r="V22" t="b">
        <v>1</v>
      </c>
      <c r="W22" t="b">
        <v>0</v>
      </c>
      <c r="X22" t="s">
        <v>171</v>
      </c>
      <c r="Y22" t="s">
        <v>211</v>
      </c>
      <c r="Z22" t="s">
        <v>212</v>
      </c>
      <c r="AA22" t="s">
        <v>212</v>
      </c>
      <c r="AC22" t="s">
        <v>213</v>
      </c>
      <c r="AD22" t="s">
        <v>214</v>
      </c>
      <c r="AE22" t="s">
        <v>215</v>
      </c>
      <c r="AF22" t="s">
        <v>71</v>
      </c>
      <c r="AG22" t="s">
        <v>183</v>
      </c>
      <c r="AH22" t="s">
        <v>216</v>
      </c>
      <c r="AI22" t="s">
        <v>211</v>
      </c>
      <c r="AJ22" t="s">
        <v>212</v>
      </c>
      <c r="AK22" t="s">
        <v>212</v>
      </c>
      <c r="AM22" t="s">
        <v>213</v>
      </c>
      <c r="AN22" t="s">
        <v>214</v>
      </c>
      <c r="AO22" t="s">
        <v>215</v>
      </c>
      <c r="AP22" t="s">
        <v>71</v>
      </c>
      <c r="AQ22" t="s">
        <v>183</v>
      </c>
      <c r="AR22" t="s">
        <v>216</v>
      </c>
      <c r="AY22" t="s">
        <v>189</v>
      </c>
      <c r="BD22">
        <v>0</v>
      </c>
      <c r="BQ22" t="str">
        <f>VLOOKUP($AY22,States!$B$4:$AZ$2000,MATCH(AP22,States!$B$3:$AZ$3,FALSE),FALSE)</f>
        <v>Nick Cisler</v>
      </c>
      <c r="BR22" t="str">
        <f>VLOOKUP($BQ22,'Rep Contact info'!$B$3:$D$400,MATCH(BR$1,'Rep Contact info'!$B$2:$D$2,FALSE),FALSE)</f>
        <v>(215) 435-4353</v>
      </c>
      <c r="BS22" t="str">
        <f>VLOOKUP($BQ22,'Rep Contact info'!$B$3:$D$400,MATCH(BS$1,'Rep Contact info'!$B$2:$D$2,FALSE),FALSE)</f>
        <v>ncisler@gmail.com</v>
      </c>
    </row>
    <row r="23" spans="1:71" x14ac:dyDescent="0.35">
      <c r="A23" t="s">
        <v>218</v>
      </c>
      <c r="B23" t="s">
        <v>209</v>
      </c>
      <c r="C23" t="s">
        <v>170</v>
      </c>
      <c r="E23" t="s">
        <v>171</v>
      </c>
      <c r="F23" s="1">
        <v>44032.583333333336</v>
      </c>
      <c r="G23" t="s">
        <v>172</v>
      </c>
      <c r="H23" t="s">
        <v>173</v>
      </c>
      <c r="I23">
        <v>0</v>
      </c>
      <c r="J23">
        <v>0</v>
      </c>
      <c r="K23">
        <v>0</v>
      </c>
      <c r="L23">
        <v>0</v>
      </c>
      <c r="N23">
        <v>0</v>
      </c>
      <c r="O23" t="s">
        <v>174</v>
      </c>
      <c r="P23" s="1">
        <v>44032.582638888889</v>
      </c>
      <c r="Q23">
        <v>1</v>
      </c>
      <c r="R23" t="s">
        <v>219</v>
      </c>
      <c r="S23">
        <v>0</v>
      </c>
      <c r="U23">
        <v>100249</v>
      </c>
      <c r="V23" t="b">
        <v>1</v>
      </c>
      <c r="W23" t="b">
        <v>0</v>
      </c>
      <c r="X23" t="s">
        <v>171</v>
      </c>
      <c r="Y23" t="s">
        <v>220</v>
      </c>
      <c r="Z23" t="s">
        <v>221</v>
      </c>
      <c r="AA23" t="s">
        <v>221</v>
      </c>
      <c r="AC23" t="s">
        <v>222</v>
      </c>
      <c r="AD23" t="s">
        <v>49</v>
      </c>
      <c r="AE23" t="s">
        <v>223</v>
      </c>
      <c r="AF23" t="s">
        <v>71</v>
      </c>
      <c r="AG23" t="s">
        <v>183</v>
      </c>
      <c r="AH23">
        <v>16163222043</v>
      </c>
      <c r="AI23" t="s">
        <v>211</v>
      </c>
      <c r="AJ23" t="s">
        <v>224</v>
      </c>
      <c r="AK23" t="s">
        <v>224</v>
      </c>
      <c r="AN23" t="s">
        <v>225</v>
      </c>
      <c r="AO23" t="s">
        <v>226</v>
      </c>
      <c r="AP23" t="s">
        <v>71</v>
      </c>
      <c r="AQ23" t="s">
        <v>183</v>
      </c>
      <c r="AR23">
        <v>16168190052</v>
      </c>
      <c r="AX23">
        <v>0</v>
      </c>
      <c r="AY23" t="s">
        <v>189</v>
      </c>
      <c r="AZ23" s="2">
        <v>2610000000000</v>
      </c>
      <c r="BB23" t="s">
        <v>186</v>
      </c>
      <c r="BC23" t="s">
        <v>187</v>
      </c>
      <c r="BD23">
        <v>0</v>
      </c>
      <c r="BQ23" t="str">
        <f>VLOOKUP($AY23,States!$B$4:$AZ$2000,MATCH(AP23,States!$B$3:$AZ$3,FALSE),FALSE)</f>
        <v>Nick Cisler</v>
      </c>
      <c r="BR23" t="str">
        <f>VLOOKUP($BQ23,'Rep Contact info'!$B$3:$D$400,MATCH(BR$1,'Rep Contact info'!$B$2:$D$2,FALSE),FALSE)</f>
        <v>(215) 435-4353</v>
      </c>
      <c r="BS23" t="str">
        <f>VLOOKUP($BQ23,'Rep Contact info'!$B$3:$D$400,MATCH(BS$1,'Rep Contact info'!$B$2:$D$2,FALSE),FALSE)</f>
        <v>ncisler@gmail.com</v>
      </c>
    </row>
    <row r="24" spans="1:71" x14ac:dyDescent="0.35">
      <c r="A24" t="s">
        <v>218</v>
      </c>
      <c r="B24" t="s">
        <v>209</v>
      </c>
      <c r="P24" s="1">
        <v>44032.582638888889</v>
      </c>
      <c r="Q24">
        <v>2</v>
      </c>
      <c r="R24" t="s">
        <v>210</v>
      </c>
      <c r="S24">
        <v>0</v>
      </c>
      <c r="U24">
        <v>100385</v>
      </c>
      <c r="V24" t="b">
        <v>1</v>
      </c>
      <c r="W24" t="b">
        <v>0</v>
      </c>
      <c r="X24" t="s">
        <v>171</v>
      </c>
      <c r="Y24" t="s">
        <v>220</v>
      </c>
      <c r="Z24" t="s">
        <v>221</v>
      </c>
      <c r="AA24" t="s">
        <v>221</v>
      </c>
      <c r="AC24" t="s">
        <v>222</v>
      </c>
      <c r="AD24" t="s">
        <v>49</v>
      </c>
      <c r="AE24" t="s">
        <v>223</v>
      </c>
      <c r="AF24" t="s">
        <v>71</v>
      </c>
      <c r="AG24" t="s">
        <v>183</v>
      </c>
      <c r="AH24">
        <v>16163222043</v>
      </c>
      <c r="AI24" t="s">
        <v>211</v>
      </c>
      <c r="AJ24" t="s">
        <v>224</v>
      </c>
      <c r="AK24" t="s">
        <v>224</v>
      </c>
      <c r="AN24" t="s">
        <v>225</v>
      </c>
      <c r="AO24" t="s">
        <v>226</v>
      </c>
      <c r="AP24" t="s">
        <v>71</v>
      </c>
      <c r="AQ24" t="s">
        <v>183</v>
      </c>
      <c r="AR24">
        <v>16168190052</v>
      </c>
      <c r="AY24" t="s">
        <v>189</v>
      </c>
      <c r="BD24">
        <v>0</v>
      </c>
      <c r="BQ24" t="str">
        <f>VLOOKUP($AY24,States!$B$4:$AZ$2000,MATCH(AP24,States!$B$3:$AZ$3,FALSE),FALSE)</f>
        <v>Nick Cisler</v>
      </c>
      <c r="BR24" t="str">
        <f>VLOOKUP($BQ24,'Rep Contact info'!$B$3:$D$400,MATCH(BR$1,'Rep Contact info'!$B$2:$D$2,FALSE),FALSE)</f>
        <v>(215) 435-4353</v>
      </c>
      <c r="BS24" t="str">
        <f>VLOOKUP($BQ24,'Rep Contact info'!$B$3:$D$400,MATCH(BS$1,'Rep Contact info'!$B$2:$D$2,FALSE),FALSE)</f>
        <v>ncisler@gmail.com</v>
      </c>
    </row>
    <row r="25" spans="1:71" x14ac:dyDescent="0.35">
      <c r="A25" t="s">
        <v>227</v>
      </c>
      <c r="B25" t="s">
        <v>228</v>
      </c>
      <c r="C25" t="s">
        <v>170</v>
      </c>
      <c r="E25" t="s">
        <v>171</v>
      </c>
      <c r="F25" s="1">
        <v>44027.37777777778</v>
      </c>
      <c r="G25" t="s">
        <v>172</v>
      </c>
      <c r="H25" t="s">
        <v>173</v>
      </c>
      <c r="I25">
        <v>0</v>
      </c>
      <c r="J25">
        <v>0</v>
      </c>
      <c r="K25">
        <v>0</v>
      </c>
      <c r="L25">
        <v>0</v>
      </c>
      <c r="N25">
        <v>0</v>
      </c>
      <c r="O25" t="s">
        <v>174</v>
      </c>
      <c r="P25" s="1">
        <v>44026.624305555553</v>
      </c>
      <c r="Q25">
        <v>1</v>
      </c>
      <c r="R25" t="s">
        <v>191</v>
      </c>
      <c r="S25">
        <v>0</v>
      </c>
      <c r="U25">
        <v>100189</v>
      </c>
      <c r="V25" t="b">
        <v>1</v>
      </c>
      <c r="W25" t="b">
        <v>0</v>
      </c>
      <c r="X25" t="s">
        <v>171</v>
      </c>
      <c r="Y25" t="s">
        <v>229</v>
      </c>
      <c r="Z25" t="s">
        <v>230</v>
      </c>
      <c r="AA25" t="s">
        <v>230</v>
      </c>
      <c r="AC25" t="s">
        <v>231</v>
      </c>
      <c r="AD25" t="s">
        <v>225</v>
      </c>
      <c r="AE25" t="s">
        <v>226</v>
      </c>
      <c r="AF25" t="s">
        <v>71</v>
      </c>
      <c r="AG25" t="s">
        <v>183</v>
      </c>
      <c r="AH25" t="s">
        <v>232</v>
      </c>
      <c r="AI25" t="s">
        <v>229</v>
      </c>
      <c r="AJ25" t="s">
        <v>230</v>
      </c>
      <c r="AK25" t="s">
        <v>230</v>
      </c>
      <c r="AM25" t="s">
        <v>231</v>
      </c>
      <c r="AN25" t="s">
        <v>225</v>
      </c>
      <c r="AO25" t="s">
        <v>226</v>
      </c>
      <c r="AP25" t="s">
        <v>71</v>
      </c>
      <c r="AQ25" t="s">
        <v>183</v>
      </c>
      <c r="AR25" t="s">
        <v>232</v>
      </c>
      <c r="AX25">
        <v>0</v>
      </c>
      <c r="AY25" t="s">
        <v>189</v>
      </c>
      <c r="AZ25" s="2">
        <v>2600000000000</v>
      </c>
      <c r="BB25" t="s">
        <v>186</v>
      </c>
      <c r="BC25" t="s">
        <v>187</v>
      </c>
      <c r="BD25">
        <v>0</v>
      </c>
      <c r="BQ25" t="str">
        <f>VLOOKUP($AY25,States!$B$4:$AZ$2000,MATCH(AP25,States!$B$3:$AZ$3,FALSE),FALSE)</f>
        <v>Nick Cisler</v>
      </c>
      <c r="BR25" t="str">
        <f>VLOOKUP($BQ25,'Rep Contact info'!$B$3:$D$400,MATCH(BR$1,'Rep Contact info'!$B$2:$D$2,FALSE),FALSE)</f>
        <v>(215) 435-4353</v>
      </c>
      <c r="BS25" t="str">
        <f>VLOOKUP($BQ25,'Rep Contact info'!$B$3:$D$400,MATCH(BS$1,'Rep Contact info'!$B$2:$D$2,FALSE),FALSE)</f>
        <v>ncisler@gmail.com</v>
      </c>
    </row>
    <row r="26" spans="1:71" x14ac:dyDescent="0.35">
      <c r="A26" t="s">
        <v>227</v>
      </c>
      <c r="B26" t="s">
        <v>228</v>
      </c>
      <c r="P26" s="1">
        <v>44026.624305555553</v>
      </c>
      <c r="Q26">
        <v>1</v>
      </c>
      <c r="R26" t="s">
        <v>210</v>
      </c>
      <c r="S26">
        <v>0</v>
      </c>
      <c r="U26">
        <v>100385</v>
      </c>
      <c r="V26" t="b">
        <v>1</v>
      </c>
      <c r="W26" t="b">
        <v>0</v>
      </c>
      <c r="X26" t="s">
        <v>171</v>
      </c>
      <c r="Y26" t="s">
        <v>229</v>
      </c>
      <c r="Z26" t="s">
        <v>230</v>
      </c>
      <c r="AA26" t="s">
        <v>230</v>
      </c>
      <c r="AC26" t="s">
        <v>231</v>
      </c>
      <c r="AD26" t="s">
        <v>225</v>
      </c>
      <c r="AE26" t="s">
        <v>226</v>
      </c>
      <c r="AF26" t="s">
        <v>71</v>
      </c>
      <c r="AG26" t="s">
        <v>183</v>
      </c>
      <c r="AH26" t="s">
        <v>232</v>
      </c>
      <c r="AI26" t="s">
        <v>229</v>
      </c>
      <c r="AJ26" t="s">
        <v>230</v>
      </c>
      <c r="AK26" t="s">
        <v>230</v>
      </c>
      <c r="AM26" t="s">
        <v>231</v>
      </c>
      <c r="AN26" t="s">
        <v>225</v>
      </c>
      <c r="AO26" t="s">
        <v>226</v>
      </c>
      <c r="AP26" t="s">
        <v>71</v>
      </c>
      <c r="AQ26" t="s">
        <v>183</v>
      </c>
      <c r="AR26" t="s">
        <v>232</v>
      </c>
      <c r="AY26" t="s">
        <v>189</v>
      </c>
      <c r="BD26">
        <v>0</v>
      </c>
      <c r="BQ26" t="str">
        <f>VLOOKUP($AY26,States!$B$4:$AZ$2000,MATCH(AP26,States!$B$3:$AZ$3,FALSE),FALSE)</f>
        <v>Nick Cisler</v>
      </c>
      <c r="BR26" t="str">
        <f>VLOOKUP($BQ26,'Rep Contact info'!$B$3:$D$400,MATCH(BR$1,'Rep Contact info'!$B$2:$D$2,FALSE),FALSE)</f>
        <v>(215) 435-4353</v>
      </c>
      <c r="BS26" t="str">
        <f>VLOOKUP($BQ26,'Rep Contact info'!$B$3:$D$400,MATCH(BS$1,'Rep Contact info'!$B$2:$D$2,FALSE),FALSE)</f>
        <v>ncisler@gmail.com</v>
      </c>
    </row>
    <row r="27" spans="1:71" x14ac:dyDescent="0.35">
      <c r="A27" t="s">
        <v>233</v>
      </c>
      <c r="B27" t="s">
        <v>209</v>
      </c>
      <c r="C27" t="s">
        <v>170</v>
      </c>
      <c r="E27" t="s">
        <v>171</v>
      </c>
      <c r="F27" s="1">
        <v>44026.015972222223</v>
      </c>
      <c r="G27" t="s">
        <v>172</v>
      </c>
      <c r="H27" t="s">
        <v>173</v>
      </c>
      <c r="I27">
        <v>0</v>
      </c>
      <c r="J27">
        <v>0</v>
      </c>
      <c r="K27">
        <v>0</v>
      </c>
      <c r="L27">
        <v>0</v>
      </c>
      <c r="N27">
        <v>0</v>
      </c>
      <c r="O27" t="s">
        <v>174</v>
      </c>
      <c r="P27" s="1">
        <v>44019.426388888889</v>
      </c>
      <c r="Q27">
        <v>1</v>
      </c>
      <c r="R27" t="s">
        <v>234</v>
      </c>
      <c r="S27">
        <v>0</v>
      </c>
      <c r="U27">
        <v>500417</v>
      </c>
      <c r="V27" t="b">
        <v>1</v>
      </c>
      <c r="W27" t="b">
        <v>0</v>
      </c>
      <c r="X27" t="s">
        <v>171</v>
      </c>
      <c r="Y27" t="s">
        <v>211</v>
      </c>
      <c r="Z27" t="s">
        <v>224</v>
      </c>
      <c r="AA27" t="s">
        <v>224</v>
      </c>
      <c r="AD27" t="s">
        <v>225</v>
      </c>
      <c r="AE27" t="s">
        <v>226</v>
      </c>
      <c r="AF27" t="s">
        <v>71</v>
      </c>
      <c r="AG27" t="s">
        <v>183</v>
      </c>
      <c r="AH27">
        <v>16168190052</v>
      </c>
      <c r="AI27" t="s">
        <v>220</v>
      </c>
      <c r="AJ27" t="s">
        <v>221</v>
      </c>
      <c r="AK27" t="s">
        <v>221</v>
      </c>
      <c r="AM27" t="s">
        <v>222</v>
      </c>
      <c r="AN27" t="s">
        <v>49</v>
      </c>
      <c r="AO27" t="s">
        <v>223</v>
      </c>
      <c r="AP27" t="s">
        <v>71</v>
      </c>
      <c r="AQ27" t="s">
        <v>183</v>
      </c>
      <c r="AR27">
        <v>16163222043</v>
      </c>
      <c r="AX27">
        <v>0</v>
      </c>
      <c r="AY27" t="s">
        <v>194</v>
      </c>
      <c r="AZ27" s="2">
        <v>2580000000000</v>
      </c>
      <c r="BB27" t="s">
        <v>186</v>
      </c>
      <c r="BC27" t="s">
        <v>187</v>
      </c>
      <c r="BD27">
        <v>0</v>
      </c>
      <c r="BQ27" t="str">
        <f>VLOOKUP($AY27,States!$B$4:$AZ$2000,MATCH(AP27,States!$B$3:$AZ$3,FALSE),FALSE)</f>
        <v>Nick Cisler</v>
      </c>
      <c r="BR27" t="str">
        <f>VLOOKUP($BQ27,'Rep Contact info'!$B$3:$D$400,MATCH(BR$1,'Rep Contact info'!$B$2:$D$2,FALSE),FALSE)</f>
        <v>(215) 435-4353</v>
      </c>
      <c r="BS27" t="str">
        <f>VLOOKUP($BQ27,'Rep Contact info'!$B$3:$D$400,MATCH(BS$1,'Rep Contact info'!$B$2:$D$2,FALSE),FALSE)</f>
        <v>ncisler@gmail.com</v>
      </c>
    </row>
    <row r="28" spans="1:71" x14ac:dyDescent="0.35">
      <c r="A28" t="s">
        <v>233</v>
      </c>
      <c r="B28" t="s">
        <v>209</v>
      </c>
      <c r="P28" s="1">
        <v>44019.426388888889</v>
      </c>
      <c r="Q28">
        <v>1</v>
      </c>
      <c r="R28" t="s">
        <v>197</v>
      </c>
      <c r="S28">
        <v>0</v>
      </c>
      <c r="U28">
        <v>500414</v>
      </c>
      <c r="V28" t="b">
        <v>1</v>
      </c>
      <c r="W28" t="b">
        <v>0</v>
      </c>
      <c r="X28" t="s">
        <v>171</v>
      </c>
      <c r="Y28" t="s">
        <v>211</v>
      </c>
      <c r="Z28" t="s">
        <v>224</v>
      </c>
      <c r="AA28" t="s">
        <v>224</v>
      </c>
      <c r="AD28" t="s">
        <v>225</v>
      </c>
      <c r="AE28" t="s">
        <v>226</v>
      </c>
      <c r="AF28" t="s">
        <v>71</v>
      </c>
      <c r="AG28" t="s">
        <v>183</v>
      </c>
      <c r="AH28">
        <v>16168190052</v>
      </c>
      <c r="AI28" t="s">
        <v>220</v>
      </c>
      <c r="AJ28" t="s">
        <v>221</v>
      </c>
      <c r="AK28" t="s">
        <v>221</v>
      </c>
      <c r="AM28" t="s">
        <v>222</v>
      </c>
      <c r="AN28" t="s">
        <v>49</v>
      </c>
      <c r="AO28" t="s">
        <v>223</v>
      </c>
      <c r="AP28" t="s">
        <v>71</v>
      </c>
      <c r="AQ28" t="s">
        <v>183</v>
      </c>
      <c r="AR28">
        <v>16163222043</v>
      </c>
      <c r="AY28" t="s">
        <v>194</v>
      </c>
      <c r="BD28">
        <v>0</v>
      </c>
      <c r="BQ28" t="str">
        <f>VLOOKUP($AY28,States!$B$4:$AZ$2000,MATCH(AP28,States!$B$3:$AZ$3,FALSE),FALSE)</f>
        <v>Nick Cisler</v>
      </c>
      <c r="BR28" t="str">
        <f>VLOOKUP($BQ28,'Rep Contact info'!$B$3:$D$400,MATCH(BR$1,'Rep Contact info'!$B$2:$D$2,FALSE),FALSE)</f>
        <v>(215) 435-4353</v>
      </c>
      <c r="BS28" t="str">
        <f>VLOOKUP($BQ28,'Rep Contact info'!$B$3:$D$400,MATCH(BS$1,'Rep Contact info'!$B$2:$D$2,FALSE),FALSE)</f>
        <v>ncisler@gmail.com</v>
      </c>
    </row>
    <row r="29" spans="1:71" x14ac:dyDescent="0.35">
      <c r="A29" t="s">
        <v>233</v>
      </c>
      <c r="B29" t="s">
        <v>209</v>
      </c>
      <c r="P29" s="1">
        <v>44019.426388888889</v>
      </c>
      <c r="Q29">
        <v>1</v>
      </c>
      <c r="R29" t="s">
        <v>207</v>
      </c>
      <c r="S29">
        <v>0</v>
      </c>
      <c r="U29">
        <v>100241</v>
      </c>
      <c r="V29" t="b">
        <v>1</v>
      </c>
      <c r="W29" t="b">
        <v>0</v>
      </c>
      <c r="X29" t="s">
        <v>171</v>
      </c>
      <c r="Y29" t="s">
        <v>211</v>
      </c>
      <c r="Z29" t="s">
        <v>224</v>
      </c>
      <c r="AA29" t="s">
        <v>224</v>
      </c>
      <c r="AD29" t="s">
        <v>225</v>
      </c>
      <c r="AE29" t="s">
        <v>226</v>
      </c>
      <c r="AF29" t="s">
        <v>71</v>
      </c>
      <c r="AG29" t="s">
        <v>183</v>
      </c>
      <c r="AH29">
        <v>16168190052</v>
      </c>
      <c r="AI29" t="s">
        <v>220</v>
      </c>
      <c r="AJ29" t="s">
        <v>221</v>
      </c>
      <c r="AK29" t="s">
        <v>221</v>
      </c>
      <c r="AM29" t="s">
        <v>222</v>
      </c>
      <c r="AN29" t="s">
        <v>49</v>
      </c>
      <c r="AO29" t="s">
        <v>223</v>
      </c>
      <c r="AP29" t="s">
        <v>71</v>
      </c>
      <c r="AQ29" t="s">
        <v>183</v>
      </c>
      <c r="AR29">
        <v>16163222043</v>
      </c>
      <c r="AY29" t="s">
        <v>189</v>
      </c>
      <c r="BD29">
        <v>0</v>
      </c>
      <c r="BQ29" t="str">
        <f>VLOOKUP($AY29,States!$B$4:$AZ$2000,MATCH(AP29,States!$B$3:$AZ$3,FALSE),FALSE)</f>
        <v>Nick Cisler</v>
      </c>
      <c r="BR29" t="str">
        <f>VLOOKUP($BQ29,'Rep Contact info'!$B$3:$D$400,MATCH(BR$1,'Rep Contact info'!$B$2:$D$2,FALSE),FALSE)</f>
        <v>(215) 435-4353</v>
      </c>
      <c r="BS29" t="str">
        <f>VLOOKUP($BQ29,'Rep Contact info'!$B$3:$D$400,MATCH(BS$1,'Rep Contact info'!$B$2:$D$2,FALSE),FALSE)</f>
        <v>ncisler@gmail.com</v>
      </c>
    </row>
    <row r="30" spans="1:71" x14ac:dyDescent="0.35">
      <c r="A30" t="s">
        <v>235</v>
      </c>
      <c r="B30" t="s">
        <v>209</v>
      </c>
      <c r="C30" t="s">
        <v>170</v>
      </c>
      <c r="E30" t="s">
        <v>171</v>
      </c>
      <c r="F30" s="1">
        <v>44013.583333333336</v>
      </c>
      <c r="G30" t="s">
        <v>172</v>
      </c>
      <c r="H30" t="s">
        <v>173</v>
      </c>
      <c r="I30">
        <v>0</v>
      </c>
      <c r="J30">
        <v>0</v>
      </c>
      <c r="K30">
        <v>0</v>
      </c>
      <c r="L30">
        <v>0</v>
      </c>
      <c r="N30">
        <v>0</v>
      </c>
      <c r="O30" t="s">
        <v>174</v>
      </c>
      <c r="P30" s="1">
        <v>44013.572916666664</v>
      </c>
      <c r="Q30">
        <v>1</v>
      </c>
      <c r="R30" t="s">
        <v>191</v>
      </c>
      <c r="S30">
        <v>0</v>
      </c>
      <c r="U30">
        <v>100189</v>
      </c>
      <c r="V30" t="b">
        <v>1</v>
      </c>
      <c r="W30" t="b">
        <v>0</v>
      </c>
      <c r="X30" t="s">
        <v>171</v>
      </c>
      <c r="Y30" t="s">
        <v>211</v>
      </c>
      <c r="Z30" t="s">
        <v>224</v>
      </c>
      <c r="AA30" t="s">
        <v>224</v>
      </c>
      <c r="AD30" t="s">
        <v>225</v>
      </c>
      <c r="AE30" t="s">
        <v>226</v>
      </c>
      <c r="AF30" t="s">
        <v>71</v>
      </c>
      <c r="AG30" t="s">
        <v>183</v>
      </c>
      <c r="AH30">
        <v>16168190052</v>
      </c>
      <c r="AI30" t="s">
        <v>211</v>
      </c>
      <c r="AJ30" t="s">
        <v>224</v>
      </c>
      <c r="AK30" t="s">
        <v>224</v>
      </c>
      <c r="AN30" t="s">
        <v>225</v>
      </c>
      <c r="AO30" t="s">
        <v>226</v>
      </c>
      <c r="AP30" t="s">
        <v>71</v>
      </c>
      <c r="AQ30" t="s">
        <v>183</v>
      </c>
      <c r="AR30">
        <v>16168190052</v>
      </c>
      <c r="AX30">
        <v>0</v>
      </c>
      <c r="AY30" t="s">
        <v>189</v>
      </c>
      <c r="AZ30" s="2">
        <v>2570000000000</v>
      </c>
      <c r="BB30" t="s">
        <v>186</v>
      </c>
      <c r="BC30" t="s">
        <v>187</v>
      </c>
      <c r="BD30">
        <v>0</v>
      </c>
      <c r="BQ30" t="str">
        <f>VLOOKUP($AY30,States!$B$4:$AZ$2000,MATCH(AP30,States!$B$3:$AZ$3,FALSE),FALSE)</f>
        <v>Nick Cisler</v>
      </c>
      <c r="BR30" t="str">
        <f>VLOOKUP($BQ30,'Rep Contact info'!$B$3:$D$400,MATCH(BR$1,'Rep Contact info'!$B$2:$D$2,FALSE),FALSE)</f>
        <v>(215) 435-4353</v>
      </c>
      <c r="BS30" t="str">
        <f>VLOOKUP($BQ30,'Rep Contact info'!$B$3:$D$400,MATCH(BS$1,'Rep Contact info'!$B$2:$D$2,FALSE),FALSE)</f>
        <v>ncisler@gmail.com</v>
      </c>
    </row>
    <row r="31" spans="1:71" x14ac:dyDescent="0.35">
      <c r="A31" t="s">
        <v>236</v>
      </c>
      <c r="B31" t="s">
        <v>209</v>
      </c>
      <c r="C31" t="s">
        <v>170</v>
      </c>
      <c r="E31" t="s">
        <v>171</v>
      </c>
      <c r="F31" s="1">
        <v>44013.583333333336</v>
      </c>
      <c r="G31" t="s">
        <v>172</v>
      </c>
      <c r="H31" t="s">
        <v>173</v>
      </c>
      <c r="I31">
        <v>0</v>
      </c>
      <c r="J31">
        <v>0</v>
      </c>
      <c r="K31">
        <v>0</v>
      </c>
      <c r="L31">
        <v>0</v>
      </c>
      <c r="N31">
        <v>0</v>
      </c>
      <c r="O31" t="s">
        <v>174</v>
      </c>
      <c r="P31" s="1">
        <v>44006.573611111111</v>
      </c>
      <c r="Q31">
        <v>1</v>
      </c>
      <c r="R31" t="s">
        <v>210</v>
      </c>
      <c r="S31">
        <v>0</v>
      </c>
      <c r="U31">
        <v>100385</v>
      </c>
      <c r="V31" t="b">
        <v>1</v>
      </c>
      <c r="W31" t="b">
        <v>0</v>
      </c>
      <c r="X31" t="s">
        <v>171</v>
      </c>
      <c r="Y31" t="s">
        <v>211</v>
      </c>
      <c r="Z31" t="s">
        <v>212</v>
      </c>
      <c r="AA31" t="s">
        <v>212</v>
      </c>
      <c r="AC31" t="s">
        <v>237</v>
      </c>
      <c r="AD31" t="s">
        <v>214</v>
      </c>
      <c r="AE31" t="s">
        <v>215</v>
      </c>
      <c r="AF31" t="s">
        <v>71</v>
      </c>
      <c r="AG31" t="s">
        <v>183</v>
      </c>
      <c r="AH31">
        <v>16168190052</v>
      </c>
      <c r="AI31" t="s">
        <v>211</v>
      </c>
      <c r="AJ31" t="s">
        <v>224</v>
      </c>
      <c r="AK31" t="s">
        <v>224</v>
      </c>
      <c r="AN31" t="s">
        <v>225</v>
      </c>
      <c r="AO31" t="s">
        <v>226</v>
      </c>
      <c r="AP31" t="s">
        <v>71</v>
      </c>
      <c r="AQ31" t="s">
        <v>183</v>
      </c>
      <c r="AR31">
        <v>16168190052</v>
      </c>
      <c r="AX31">
        <v>0</v>
      </c>
      <c r="AY31" t="s">
        <v>189</v>
      </c>
      <c r="AZ31" s="2">
        <v>2560000000000</v>
      </c>
      <c r="BB31" t="s">
        <v>186</v>
      </c>
      <c r="BC31" t="s">
        <v>187</v>
      </c>
      <c r="BD31">
        <v>0</v>
      </c>
      <c r="BQ31" t="str">
        <f>VLOOKUP($AY31,States!$B$4:$AZ$2000,MATCH(AP31,States!$B$3:$AZ$3,FALSE),FALSE)</f>
        <v>Nick Cisler</v>
      </c>
      <c r="BR31" t="str">
        <f>VLOOKUP($BQ31,'Rep Contact info'!$B$3:$D$400,MATCH(BR$1,'Rep Contact info'!$B$2:$D$2,FALSE),FALSE)</f>
        <v>(215) 435-4353</v>
      </c>
      <c r="BS31" t="str">
        <f>VLOOKUP($BQ31,'Rep Contact info'!$B$3:$D$400,MATCH(BS$1,'Rep Contact info'!$B$2:$D$2,FALSE),FALSE)</f>
        <v>ncisler@gmail.com</v>
      </c>
    </row>
    <row r="32" spans="1:71" x14ac:dyDescent="0.35">
      <c r="A32" t="s">
        <v>238</v>
      </c>
      <c r="B32" t="s">
        <v>209</v>
      </c>
      <c r="C32" t="s">
        <v>170</v>
      </c>
      <c r="E32" t="s">
        <v>171</v>
      </c>
      <c r="F32" s="1">
        <v>44013.583333333336</v>
      </c>
      <c r="G32" t="s">
        <v>172</v>
      </c>
      <c r="H32" t="s">
        <v>173</v>
      </c>
      <c r="I32">
        <v>0</v>
      </c>
      <c r="J32">
        <v>0</v>
      </c>
      <c r="K32">
        <v>0</v>
      </c>
      <c r="L32">
        <v>0</v>
      </c>
      <c r="N32">
        <v>0</v>
      </c>
      <c r="O32" t="s">
        <v>174</v>
      </c>
      <c r="P32" s="1">
        <v>43997.413888888892</v>
      </c>
      <c r="Q32">
        <v>1</v>
      </c>
      <c r="R32" t="s">
        <v>239</v>
      </c>
      <c r="S32">
        <v>0</v>
      </c>
      <c r="U32">
        <v>12040</v>
      </c>
      <c r="V32" t="b">
        <v>1</v>
      </c>
      <c r="W32" t="b">
        <v>0</v>
      </c>
      <c r="X32" t="s">
        <v>171</v>
      </c>
      <c r="Y32" t="s">
        <v>211</v>
      </c>
      <c r="Z32" t="s">
        <v>212</v>
      </c>
      <c r="AA32" t="s">
        <v>212</v>
      </c>
      <c r="AC32" t="s">
        <v>237</v>
      </c>
      <c r="AD32" t="s">
        <v>214</v>
      </c>
      <c r="AE32" t="s">
        <v>215</v>
      </c>
      <c r="AF32" t="s">
        <v>71</v>
      </c>
      <c r="AG32" t="s">
        <v>183</v>
      </c>
      <c r="AH32">
        <v>16168190052</v>
      </c>
      <c r="AI32" t="s">
        <v>211</v>
      </c>
      <c r="AJ32" t="s">
        <v>212</v>
      </c>
      <c r="AK32" t="s">
        <v>212</v>
      </c>
      <c r="AM32" t="s">
        <v>237</v>
      </c>
      <c r="AN32" t="s">
        <v>214</v>
      </c>
      <c r="AO32" t="s">
        <v>215</v>
      </c>
      <c r="AP32" t="s">
        <v>71</v>
      </c>
      <c r="AQ32" t="s">
        <v>183</v>
      </c>
      <c r="AR32">
        <v>16168190052</v>
      </c>
      <c r="AX32">
        <v>0</v>
      </c>
      <c r="AY32" t="s">
        <v>194</v>
      </c>
      <c r="AZ32" s="2">
        <v>2530000000000</v>
      </c>
      <c r="BB32" t="s">
        <v>186</v>
      </c>
      <c r="BC32" t="s">
        <v>187</v>
      </c>
      <c r="BD32">
        <v>0</v>
      </c>
      <c r="BQ32" t="str">
        <f>VLOOKUP($AY32,States!$B$4:$AZ$2000,MATCH(AP32,States!$B$3:$AZ$3,FALSE),FALSE)</f>
        <v>Nick Cisler</v>
      </c>
      <c r="BR32" t="str">
        <f>VLOOKUP($BQ32,'Rep Contact info'!$B$3:$D$400,MATCH(BR$1,'Rep Contact info'!$B$2:$D$2,FALSE),FALSE)</f>
        <v>(215) 435-4353</v>
      </c>
      <c r="BS32" t="str">
        <f>VLOOKUP($BQ32,'Rep Contact info'!$B$3:$D$400,MATCH(BS$1,'Rep Contact info'!$B$2:$D$2,FALSE),FALSE)</f>
        <v>ncisler@gmail.com</v>
      </c>
    </row>
    <row r="33" spans="1:71" x14ac:dyDescent="0.35">
      <c r="A33" t="s">
        <v>238</v>
      </c>
      <c r="B33" t="s">
        <v>209</v>
      </c>
      <c r="P33" s="1">
        <v>43997.413888888892</v>
      </c>
      <c r="Q33">
        <v>1</v>
      </c>
      <c r="R33" t="s">
        <v>240</v>
      </c>
      <c r="S33">
        <v>0</v>
      </c>
      <c r="U33">
        <v>12043</v>
      </c>
      <c r="V33" t="b">
        <v>1</v>
      </c>
      <c r="W33" t="b">
        <v>0</v>
      </c>
      <c r="X33" t="s">
        <v>171</v>
      </c>
      <c r="Y33" t="s">
        <v>211</v>
      </c>
      <c r="Z33" t="s">
        <v>212</v>
      </c>
      <c r="AA33" t="s">
        <v>212</v>
      </c>
      <c r="AC33" t="s">
        <v>237</v>
      </c>
      <c r="AD33" t="s">
        <v>214</v>
      </c>
      <c r="AE33" t="s">
        <v>215</v>
      </c>
      <c r="AF33" t="s">
        <v>71</v>
      </c>
      <c r="AG33" t="s">
        <v>183</v>
      </c>
      <c r="AH33">
        <v>16168190052</v>
      </c>
      <c r="AI33" t="s">
        <v>211</v>
      </c>
      <c r="AJ33" t="s">
        <v>212</v>
      </c>
      <c r="AK33" t="s">
        <v>212</v>
      </c>
      <c r="AM33" t="s">
        <v>237</v>
      </c>
      <c r="AN33" t="s">
        <v>214</v>
      </c>
      <c r="AO33" t="s">
        <v>215</v>
      </c>
      <c r="AP33" t="s">
        <v>71</v>
      </c>
      <c r="AQ33" t="s">
        <v>183</v>
      </c>
      <c r="AR33">
        <v>16168190052</v>
      </c>
      <c r="AY33" t="s">
        <v>194</v>
      </c>
      <c r="BD33">
        <v>0</v>
      </c>
      <c r="BQ33" t="str">
        <f>VLOOKUP($AY33,States!$B$4:$AZ$2000,MATCH(AP33,States!$B$3:$AZ$3,FALSE),FALSE)</f>
        <v>Nick Cisler</v>
      </c>
      <c r="BR33" t="str">
        <f>VLOOKUP($BQ33,'Rep Contact info'!$B$3:$D$400,MATCH(BR$1,'Rep Contact info'!$B$2:$D$2,FALSE),FALSE)</f>
        <v>(215) 435-4353</v>
      </c>
      <c r="BS33" t="str">
        <f>VLOOKUP($BQ33,'Rep Contact info'!$B$3:$D$400,MATCH(BS$1,'Rep Contact info'!$B$2:$D$2,FALSE),FALSE)</f>
        <v>ncisler@gmail.com</v>
      </c>
    </row>
    <row r="34" spans="1:71" x14ac:dyDescent="0.35">
      <c r="A34" t="s">
        <v>241</v>
      </c>
      <c r="B34" t="s">
        <v>242</v>
      </c>
      <c r="C34" t="s">
        <v>170</v>
      </c>
      <c r="E34" t="s">
        <v>171</v>
      </c>
      <c r="F34" s="1">
        <v>44013.583333333336</v>
      </c>
      <c r="G34" t="s">
        <v>172</v>
      </c>
      <c r="H34" t="s">
        <v>173</v>
      </c>
      <c r="I34">
        <v>0</v>
      </c>
      <c r="J34">
        <v>0</v>
      </c>
      <c r="K34">
        <v>0</v>
      </c>
      <c r="L34">
        <v>0</v>
      </c>
      <c r="N34">
        <v>0</v>
      </c>
      <c r="O34" t="s">
        <v>174</v>
      </c>
      <c r="P34" s="1">
        <v>43997.408333333333</v>
      </c>
      <c r="Q34">
        <v>1</v>
      </c>
      <c r="R34" t="s">
        <v>243</v>
      </c>
      <c r="S34">
        <v>0</v>
      </c>
      <c r="U34">
        <v>100222</v>
      </c>
      <c r="V34" t="b">
        <v>1</v>
      </c>
      <c r="W34" t="b">
        <v>0</v>
      </c>
      <c r="X34" t="s">
        <v>171</v>
      </c>
      <c r="Y34" t="s">
        <v>244</v>
      </c>
      <c r="Z34" t="s">
        <v>245</v>
      </c>
      <c r="AA34" t="s">
        <v>245</v>
      </c>
      <c r="AC34" t="s">
        <v>246</v>
      </c>
      <c r="AD34" t="s">
        <v>247</v>
      </c>
      <c r="AE34" t="s">
        <v>248</v>
      </c>
      <c r="AF34" t="s">
        <v>62</v>
      </c>
      <c r="AG34" t="s">
        <v>183</v>
      </c>
      <c r="AH34" t="s">
        <v>249</v>
      </c>
      <c r="AI34" t="s">
        <v>244</v>
      </c>
      <c r="AJ34" t="s">
        <v>245</v>
      </c>
      <c r="AK34" t="s">
        <v>245</v>
      </c>
      <c r="AM34" t="s">
        <v>246</v>
      </c>
      <c r="AN34" t="s">
        <v>247</v>
      </c>
      <c r="AO34" t="s">
        <v>248</v>
      </c>
      <c r="AP34" t="s">
        <v>62</v>
      </c>
      <c r="AQ34" t="s">
        <v>183</v>
      </c>
      <c r="AR34" t="s">
        <v>249</v>
      </c>
      <c r="AX34">
        <v>0</v>
      </c>
      <c r="AY34" t="s">
        <v>189</v>
      </c>
      <c r="AZ34" s="2">
        <v>2530000000000</v>
      </c>
      <c r="BB34" t="s">
        <v>186</v>
      </c>
      <c r="BC34" t="s">
        <v>187</v>
      </c>
      <c r="BD34">
        <v>0</v>
      </c>
      <c r="BQ34" t="str">
        <f>VLOOKUP($AY34,States!$B$4:$AZ$2000,MATCH(AP34,States!$B$3:$AZ$3,FALSE),FALSE)</f>
        <v>Greg Ambrogi</v>
      </c>
      <c r="BR34" t="str">
        <f>VLOOKUP($BQ34,'Rep Contact info'!$B$3:$D$400,MATCH(BR$1,'Rep Contact info'!$B$2:$D$2,FALSE),FALSE)</f>
        <v>(610) 420-3842</v>
      </c>
      <c r="BS34" t="str">
        <f>VLOOKUP($BQ34,'Rep Contact info'!$B$3:$D$400,MATCH(BS$1,'Rep Contact info'!$B$2:$D$2,FALSE),FALSE)</f>
        <v>grambrog24@gmail.com</v>
      </c>
    </row>
    <row r="35" spans="1:71" x14ac:dyDescent="0.35">
      <c r="A35" t="s">
        <v>241</v>
      </c>
      <c r="B35" t="s">
        <v>242</v>
      </c>
      <c r="P35" s="1">
        <v>43997.408333333333</v>
      </c>
      <c r="Q35">
        <v>1</v>
      </c>
      <c r="R35" t="s">
        <v>250</v>
      </c>
      <c r="S35">
        <v>0</v>
      </c>
      <c r="U35">
        <v>100</v>
      </c>
      <c r="V35" t="b">
        <v>1</v>
      </c>
      <c r="W35" t="b">
        <v>0</v>
      </c>
      <c r="X35" t="s">
        <v>171</v>
      </c>
      <c r="Y35" t="s">
        <v>244</v>
      </c>
      <c r="Z35" t="s">
        <v>245</v>
      </c>
      <c r="AA35" t="s">
        <v>245</v>
      </c>
      <c r="AC35" t="s">
        <v>246</v>
      </c>
      <c r="AD35" t="s">
        <v>247</v>
      </c>
      <c r="AE35" t="s">
        <v>248</v>
      </c>
      <c r="AF35" t="s">
        <v>62</v>
      </c>
      <c r="AG35" t="s">
        <v>183</v>
      </c>
      <c r="AH35" t="s">
        <v>249</v>
      </c>
      <c r="AI35" t="s">
        <v>244</v>
      </c>
      <c r="AJ35" t="s">
        <v>245</v>
      </c>
      <c r="AK35" t="s">
        <v>245</v>
      </c>
      <c r="AM35" t="s">
        <v>246</v>
      </c>
      <c r="AN35" t="s">
        <v>247</v>
      </c>
      <c r="AO35" t="s">
        <v>248</v>
      </c>
      <c r="AP35" t="s">
        <v>62</v>
      </c>
      <c r="AQ35" t="s">
        <v>183</v>
      </c>
      <c r="AR35" t="s">
        <v>249</v>
      </c>
      <c r="AY35" t="s">
        <v>189</v>
      </c>
      <c r="BD35">
        <v>0</v>
      </c>
      <c r="BQ35" t="str">
        <f>VLOOKUP($AY35,States!$B$4:$AZ$2000,MATCH(AP35,States!$B$3:$AZ$3,FALSE),FALSE)</f>
        <v>Greg Ambrogi</v>
      </c>
      <c r="BR35" t="str">
        <f>VLOOKUP($BQ35,'Rep Contact info'!$B$3:$D$400,MATCH(BR$1,'Rep Contact info'!$B$2:$D$2,FALSE),FALSE)</f>
        <v>(610) 420-3842</v>
      </c>
      <c r="BS35" t="str">
        <f>VLOOKUP($BQ35,'Rep Contact info'!$B$3:$D$400,MATCH(BS$1,'Rep Contact info'!$B$2:$D$2,FALSE),FALSE)</f>
        <v>grambrog24@gmail.com</v>
      </c>
    </row>
    <row r="36" spans="1:71" x14ac:dyDescent="0.35">
      <c r="A36" t="s">
        <v>241</v>
      </c>
      <c r="B36" t="s">
        <v>242</v>
      </c>
      <c r="P36" s="1">
        <v>43997.408333333333</v>
      </c>
      <c r="Q36">
        <v>1</v>
      </c>
      <c r="R36" t="s">
        <v>251</v>
      </c>
      <c r="S36">
        <v>0</v>
      </c>
      <c r="U36">
        <v>100176</v>
      </c>
      <c r="V36" t="b">
        <v>1</v>
      </c>
      <c r="W36" t="b">
        <v>0</v>
      </c>
      <c r="X36" t="s">
        <v>171</v>
      </c>
      <c r="Y36" t="s">
        <v>244</v>
      </c>
      <c r="Z36" t="s">
        <v>245</v>
      </c>
      <c r="AA36" t="s">
        <v>245</v>
      </c>
      <c r="AC36" t="s">
        <v>246</v>
      </c>
      <c r="AD36" t="s">
        <v>247</v>
      </c>
      <c r="AE36" t="s">
        <v>248</v>
      </c>
      <c r="AF36" t="s">
        <v>62</v>
      </c>
      <c r="AG36" t="s">
        <v>183</v>
      </c>
      <c r="AH36" t="s">
        <v>249</v>
      </c>
      <c r="AI36" t="s">
        <v>244</v>
      </c>
      <c r="AJ36" t="s">
        <v>245</v>
      </c>
      <c r="AK36" t="s">
        <v>245</v>
      </c>
      <c r="AM36" t="s">
        <v>246</v>
      </c>
      <c r="AN36" t="s">
        <v>247</v>
      </c>
      <c r="AO36" t="s">
        <v>248</v>
      </c>
      <c r="AP36" t="s">
        <v>62</v>
      </c>
      <c r="AQ36" t="s">
        <v>183</v>
      </c>
      <c r="AR36" t="s">
        <v>249</v>
      </c>
      <c r="AY36" t="s">
        <v>189</v>
      </c>
      <c r="BD36">
        <v>0</v>
      </c>
      <c r="BQ36" t="str">
        <f>VLOOKUP($AY36,States!$B$4:$AZ$2000,MATCH(AP36,States!$B$3:$AZ$3,FALSE),FALSE)</f>
        <v>Greg Ambrogi</v>
      </c>
      <c r="BR36" t="str">
        <f>VLOOKUP($BQ36,'Rep Contact info'!$B$3:$D$400,MATCH(BR$1,'Rep Contact info'!$B$2:$D$2,FALSE),FALSE)</f>
        <v>(610) 420-3842</v>
      </c>
      <c r="BS36" t="str">
        <f>VLOOKUP($BQ36,'Rep Contact info'!$B$3:$D$400,MATCH(BS$1,'Rep Contact info'!$B$2:$D$2,FALSE),FALSE)</f>
        <v>grambrog24@gmail.com</v>
      </c>
    </row>
    <row r="37" spans="1:71" x14ac:dyDescent="0.35">
      <c r="A37" t="s">
        <v>252</v>
      </c>
      <c r="B37" t="s">
        <v>253</v>
      </c>
      <c r="C37" t="s">
        <v>170</v>
      </c>
      <c r="E37" t="s">
        <v>171</v>
      </c>
      <c r="F37" s="1">
        <v>44013.583333333336</v>
      </c>
      <c r="G37" t="s">
        <v>172</v>
      </c>
      <c r="H37" t="s">
        <v>173</v>
      </c>
      <c r="I37">
        <v>0</v>
      </c>
      <c r="J37">
        <v>0</v>
      </c>
      <c r="K37">
        <v>0</v>
      </c>
      <c r="L37">
        <v>0</v>
      </c>
      <c r="N37">
        <v>0</v>
      </c>
      <c r="O37" t="s">
        <v>174</v>
      </c>
      <c r="P37" s="1">
        <v>43985.711111111108</v>
      </c>
      <c r="Q37">
        <v>1</v>
      </c>
      <c r="R37" t="s">
        <v>254</v>
      </c>
      <c r="S37">
        <v>0</v>
      </c>
      <c r="U37">
        <v>100304</v>
      </c>
      <c r="V37" t="b">
        <v>1</v>
      </c>
      <c r="W37" t="b">
        <v>0</v>
      </c>
      <c r="X37" t="s">
        <v>171</v>
      </c>
      <c r="Y37" t="s">
        <v>255</v>
      </c>
      <c r="Z37" t="s">
        <v>256</v>
      </c>
      <c r="AA37" t="s">
        <v>256</v>
      </c>
      <c r="AD37" t="s">
        <v>257</v>
      </c>
      <c r="AE37" t="s">
        <v>258</v>
      </c>
      <c r="AF37" t="s">
        <v>87</v>
      </c>
      <c r="AG37" t="s">
        <v>183</v>
      </c>
      <c r="AI37" t="s">
        <v>255</v>
      </c>
      <c r="AJ37" t="s">
        <v>256</v>
      </c>
      <c r="AK37" t="s">
        <v>256</v>
      </c>
      <c r="AN37" t="s">
        <v>257</v>
      </c>
      <c r="AO37" t="s">
        <v>258</v>
      </c>
      <c r="AP37" t="s">
        <v>87</v>
      </c>
      <c r="AQ37" t="s">
        <v>183</v>
      </c>
      <c r="AR37" t="s">
        <v>259</v>
      </c>
      <c r="AX37">
        <v>0</v>
      </c>
      <c r="AY37" t="s">
        <v>189</v>
      </c>
      <c r="AZ37" s="2">
        <v>2500000000000</v>
      </c>
      <c r="BB37" t="s">
        <v>186</v>
      </c>
      <c r="BC37" t="s">
        <v>187</v>
      </c>
      <c r="BD37">
        <v>0</v>
      </c>
      <c r="BQ37" t="str">
        <f>VLOOKUP($AY37,States!$B$4:$AZ$2000,MATCH(AP37,States!$B$3:$AZ$3,FALSE),FALSE)</f>
        <v>Greg Ambrogi</v>
      </c>
      <c r="BR37" t="str">
        <f>VLOOKUP($BQ37,'Rep Contact info'!$B$3:$D$400,MATCH(BR$1,'Rep Contact info'!$B$2:$D$2,FALSE),FALSE)</f>
        <v>(610) 420-3842</v>
      </c>
      <c r="BS37" t="str">
        <f>VLOOKUP($BQ37,'Rep Contact info'!$B$3:$D$400,MATCH(BS$1,'Rep Contact info'!$B$2:$D$2,FALSE),FALSE)</f>
        <v>grambrog24@gmail.com</v>
      </c>
    </row>
    <row r="38" spans="1:71" x14ac:dyDescent="0.35">
      <c r="A38" t="s">
        <v>260</v>
      </c>
      <c r="B38" t="s">
        <v>261</v>
      </c>
      <c r="C38" t="s">
        <v>170</v>
      </c>
      <c r="E38" t="s">
        <v>171</v>
      </c>
      <c r="F38" s="1">
        <v>43984.611805555556</v>
      </c>
      <c r="G38" t="s">
        <v>172</v>
      </c>
      <c r="H38" t="s">
        <v>173</v>
      </c>
      <c r="I38">
        <v>0</v>
      </c>
      <c r="J38">
        <v>0</v>
      </c>
      <c r="K38">
        <v>0</v>
      </c>
      <c r="L38">
        <v>0</v>
      </c>
      <c r="N38">
        <v>0</v>
      </c>
      <c r="O38" t="s">
        <v>174</v>
      </c>
      <c r="P38" s="1">
        <v>43984.609027777777</v>
      </c>
      <c r="Q38">
        <v>1</v>
      </c>
      <c r="R38" t="s">
        <v>262</v>
      </c>
      <c r="S38">
        <v>0</v>
      </c>
      <c r="U38">
        <v>100216</v>
      </c>
      <c r="V38" t="b">
        <v>1</v>
      </c>
      <c r="W38" t="b">
        <v>0</v>
      </c>
      <c r="X38" t="s">
        <v>171</v>
      </c>
      <c r="Y38" t="s">
        <v>263</v>
      </c>
      <c r="Z38" t="s">
        <v>264</v>
      </c>
      <c r="AA38" t="s">
        <v>264</v>
      </c>
      <c r="AC38" t="s">
        <v>265</v>
      </c>
      <c r="AD38" t="s">
        <v>266</v>
      </c>
      <c r="AE38" t="s">
        <v>267</v>
      </c>
      <c r="AF38" t="s">
        <v>71</v>
      </c>
      <c r="AG38" t="s">
        <v>183</v>
      </c>
      <c r="AH38" t="s">
        <v>268</v>
      </c>
      <c r="AI38" t="s">
        <v>263</v>
      </c>
      <c r="AJ38" t="s">
        <v>264</v>
      </c>
      <c r="AK38" t="s">
        <v>264</v>
      </c>
      <c r="AM38" t="s">
        <v>265</v>
      </c>
      <c r="AN38" t="s">
        <v>266</v>
      </c>
      <c r="AO38" t="s">
        <v>267</v>
      </c>
      <c r="AP38" t="s">
        <v>71</v>
      </c>
      <c r="AQ38" t="s">
        <v>183</v>
      </c>
      <c r="AR38" t="s">
        <v>268</v>
      </c>
      <c r="AX38">
        <v>0</v>
      </c>
      <c r="AY38" t="s">
        <v>189</v>
      </c>
      <c r="AZ38" s="2">
        <v>2500000000000</v>
      </c>
      <c r="BB38" t="s">
        <v>186</v>
      </c>
      <c r="BC38" t="s">
        <v>187</v>
      </c>
      <c r="BD38">
        <v>0</v>
      </c>
      <c r="BQ38" t="str">
        <f>VLOOKUP($AY38,States!$B$4:$AZ$2000,MATCH(AP38,States!$B$3:$AZ$3,FALSE),FALSE)</f>
        <v>Nick Cisler</v>
      </c>
      <c r="BR38" t="str">
        <f>VLOOKUP($BQ38,'Rep Contact info'!$B$3:$D$400,MATCH(BR$1,'Rep Contact info'!$B$2:$D$2,FALSE),FALSE)</f>
        <v>(215) 435-4353</v>
      </c>
      <c r="BS38" t="str">
        <f>VLOOKUP($BQ38,'Rep Contact info'!$B$3:$D$400,MATCH(BS$1,'Rep Contact info'!$B$2:$D$2,FALSE),FALSE)</f>
        <v>ncisler@gmail.com</v>
      </c>
    </row>
    <row r="39" spans="1:71" x14ac:dyDescent="0.35">
      <c r="A39" t="s">
        <v>269</v>
      </c>
      <c r="B39" t="s">
        <v>209</v>
      </c>
      <c r="C39" t="s">
        <v>170</v>
      </c>
      <c r="E39" t="s">
        <v>171</v>
      </c>
      <c r="F39" s="1">
        <v>44013.583333333336</v>
      </c>
      <c r="G39" t="s">
        <v>172</v>
      </c>
      <c r="H39" t="s">
        <v>173</v>
      </c>
      <c r="I39">
        <v>0</v>
      </c>
      <c r="J39">
        <v>0</v>
      </c>
      <c r="K39">
        <v>0</v>
      </c>
      <c r="L39">
        <v>0</v>
      </c>
      <c r="N39">
        <v>0</v>
      </c>
      <c r="O39" t="s">
        <v>174</v>
      </c>
      <c r="P39" s="1">
        <v>43984.542361111111</v>
      </c>
      <c r="Q39">
        <v>1</v>
      </c>
      <c r="R39" t="s">
        <v>210</v>
      </c>
      <c r="S39">
        <v>0</v>
      </c>
      <c r="U39">
        <v>100385</v>
      </c>
      <c r="V39" t="b">
        <v>1</v>
      </c>
      <c r="W39" t="b">
        <v>0</v>
      </c>
      <c r="X39" t="s">
        <v>171</v>
      </c>
      <c r="Y39" t="s">
        <v>211</v>
      </c>
      <c r="Z39" t="s">
        <v>230</v>
      </c>
      <c r="AA39" t="s">
        <v>230</v>
      </c>
      <c r="AC39" t="s">
        <v>270</v>
      </c>
      <c r="AD39" t="s">
        <v>225</v>
      </c>
      <c r="AE39" t="s">
        <v>226</v>
      </c>
      <c r="AF39" t="s">
        <v>71</v>
      </c>
      <c r="AG39" t="s">
        <v>183</v>
      </c>
      <c r="AH39" t="s">
        <v>271</v>
      </c>
      <c r="AI39" t="s">
        <v>211</v>
      </c>
      <c r="AJ39" t="s">
        <v>230</v>
      </c>
      <c r="AK39" t="s">
        <v>230</v>
      </c>
      <c r="AM39" t="s">
        <v>270</v>
      </c>
      <c r="AN39" t="s">
        <v>225</v>
      </c>
      <c r="AO39" t="s">
        <v>226</v>
      </c>
      <c r="AP39" t="s">
        <v>71</v>
      </c>
      <c r="AQ39" t="s">
        <v>183</v>
      </c>
      <c r="AR39" t="s">
        <v>271</v>
      </c>
      <c r="AX39">
        <v>0</v>
      </c>
      <c r="AY39" t="s">
        <v>189</v>
      </c>
      <c r="AZ39" s="2">
        <v>2500000000000</v>
      </c>
      <c r="BB39" t="s">
        <v>186</v>
      </c>
      <c r="BC39" t="s">
        <v>187</v>
      </c>
      <c r="BD39">
        <v>0</v>
      </c>
      <c r="BQ39" t="str">
        <f>VLOOKUP($AY39,States!$B$4:$AZ$2000,MATCH(AP39,States!$B$3:$AZ$3,FALSE),FALSE)</f>
        <v>Nick Cisler</v>
      </c>
      <c r="BR39" t="str">
        <f>VLOOKUP($BQ39,'Rep Contact info'!$B$3:$D$400,MATCH(BR$1,'Rep Contact info'!$B$2:$D$2,FALSE),FALSE)</f>
        <v>(215) 435-4353</v>
      </c>
      <c r="BS39" t="str">
        <f>VLOOKUP($BQ39,'Rep Contact info'!$B$3:$D$400,MATCH(BS$1,'Rep Contact info'!$B$2:$D$2,FALSE),FALSE)</f>
        <v>ncisler@gmail.com</v>
      </c>
    </row>
    <row r="40" spans="1:71" x14ac:dyDescent="0.35">
      <c r="A40" t="s">
        <v>272</v>
      </c>
      <c r="B40" t="s">
        <v>273</v>
      </c>
      <c r="C40" t="s">
        <v>170</v>
      </c>
      <c r="E40" t="s">
        <v>171</v>
      </c>
      <c r="F40" s="1">
        <v>43978.620138888888</v>
      </c>
      <c r="G40" t="s">
        <v>172</v>
      </c>
      <c r="H40" t="s">
        <v>173</v>
      </c>
      <c r="I40">
        <v>0</v>
      </c>
      <c r="J40">
        <v>0</v>
      </c>
      <c r="K40">
        <v>0</v>
      </c>
      <c r="L40">
        <v>0</v>
      </c>
      <c r="N40">
        <v>0</v>
      </c>
      <c r="O40" t="s">
        <v>174</v>
      </c>
      <c r="P40" s="1">
        <v>43978.618750000001</v>
      </c>
      <c r="Q40">
        <v>1</v>
      </c>
      <c r="R40" t="s">
        <v>210</v>
      </c>
      <c r="S40">
        <v>0</v>
      </c>
      <c r="U40">
        <v>100385</v>
      </c>
      <c r="V40" t="b">
        <v>1</v>
      </c>
      <c r="W40" t="b">
        <v>0</v>
      </c>
      <c r="X40" t="s">
        <v>171</v>
      </c>
      <c r="Y40" t="s">
        <v>274</v>
      </c>
      <c r="Z40" t="s">
        <v>224</v>
      </c>
      <c r="AA40" t="s">
        <v>224</v>
      </c>
      <c r="AC40" t="s">
        <v>275</v>
      </c>
      <c r="AD40" t="s">
        <v>225</v>
      </c>
      <c r="AE40" t="s">
        <v>226</v>
      </c>
      <c r="AF40" t="s">
        <v>71</v>
      </c>
      <c r="AG40" t="s">
        <v>183</v>
      </c>
      <c r="AH40" t="s">
        <v>276</v>
      </c>
      <c r="AI40" t="s">
        <v>274</v>
      </c>
      <c r="AJ40" t="s">
        <v>224</v>
      </c>
      <c r="AK40" t="s">
        <v>224</v>
      </c>
      <c r="AM40" t="s">
        <v>275</v>
      </c>
      <c r="AN40" t="s">
        <v>225</v>
      </c>
      <c r="AO40" t="s">
        <v>226</v>
      </c>
      <c r="AP40" t="s">
        <v>71</v>
      </c>
      <c r="AQ40" t="s">
        <v>183</v>
      </c>
      <c r="AR40" t="s">
        <v>276</v>
      </c>
      <c r="AX40">
        <v>0</v>
      </c>
      <c r="AY40" t="s">
        <v>189</v>
      </c>
      <c r="AZ40" s="2">
        <v>2490000000000</v>
      </c>
      <c r="BB40" t="s">
        <v>186</v>
      </c>
      <c r="BC40" t="s">
        <v>187</v>
      </c>
      <c r="BD40">
        <v>0</v>
      </c>
      <c r="BQ40" t="str">
        <f>VLOOKUP($AY40,States!$B$4:$AZ$2000,MATCH(AP40,States!$B$3:$AZ$3,FALSE),FALSE)</f>
        <v>Nick Cisler</v>
      </c>
      <c r="BR40" t="str">
        <f>VLOOKUP($BQ40,'Rep Contact info'!$B$3:$D$400,MATCH(BR$1,'Rep Contact info'!$B$2:$D$2,FALSE),FALSE)</f>
        <v>(215) 435-4353</v>
      </c>
      <c r="BS40" t="str">
        <f>VLOOKUP($BQ40,'Rep Contact info'!$B$3:$D$400,MATCH(BS$1,'Rep Contact info'!$B$2:$D$2,FALSE),FALSE)</f>
        <v>ncisler@gmail.com</v>
      </c>
    </row>
    <row r="41" spans="1:71" x14ac:dyDescent="0.35">
      <c r="A41" t="s">
        <v>277</v>
      </c>
      <c r="C41" t="s">
        <v>170</v>
      </c>
      <c r="E41" t="s">
        <v>171</v>
      </c>
      <c r="F41" s="1">
        <v>44013.583333333336</v>
      </c>
      <c r="G41" t="s">
        <v>172</v>
      </c>
      <c r="H41" t="s">
        <v>173</v>
      </c>
      <c r="I41">
        <v>0</v>
      </c>
      <c r="J41">
        <v>0</v>
      </c>
      <c r="K41">
        <v>0</v>
      </c>
      <c r="L41">
        <v>0</v>
      </c>
      <c r="N41">
        <v>0</v>
      </c>
      <c r="P41" s="1">
        <v>43978.59652777778</v>
      </c>
      <c r="Q41">
        <v>1</v>
      </c>
      <c r="R41" t="s">
        <v>262</v>
      </c>
      <c r="S41">
        <v>0</v>
      </c>
      <c r="U41">
        <v>100216</v>
      </c>
      <c r="V41" t="b">
        <v>1</v>
      </c>
      <c r="W41" t="b">
        <v>0</v>
      </c>
      <c r="X41" t="s">
        <v>171</v>
      </c>
      <c r="Y41" t="s">
        <v>274</v>
      </c>
      <c r="Z41" t="s">
        <v>224</v>
      </c>
      <c r="AA41" t="s">
        <v>224</v>
      </c>
      <c r="AC41" t="s">
        <v>275</v>
      </c>
      <c r="AD41" t="s">
        <v>225</v>
      </c>
      <c r="AE41" t="s">
        <v>226</v>
      </c>
      <c r="AF41" t="s">
        <v>71</v>
      </c>
      <c r="AG41" t="s">
        <v>183</v>
      </c>
      <c r="AH41" t="s">
        <v>276</v>
      </c>
      <c r="AI41" t="s">
        <v>274</v>
      </c>
      <c r="AJ41" t="s">
        <v>224</v>
      </c>
      <c r="AK41" t="s">
        <v>224</v>
      </c>
      <c r="AM41" t="s">
        <v>275</v>
      </c>
      <c r="AN41" t="s">
        <v>225</v>
      </c>
      <c r="AO41" t="s">
        <v>226</v>
      </c>
      <c r="AP41" t="s">
        <v>71</v>
      </c>
      <c r="AQ41" t="s">
        <v>183</v>
      </c>
      <c r="AR41" t="s">
        <v>276</v>
      </c>
      <c r="AX41">
        <v>0</v>
      </c>
      <c r="AY41" t="s">
        <v>189</v>
      </c>
      <c r="AZ41" s="2">
        <v>2490000000000</v>
      </c>
      <c r="BB41" t="s">
        <v>186</v>
      </c>
      <c r="BC41" t="s">
        <v>278</v>
      </c>
      <c r="BD41">
        <v>0</v>
      </c>
      <c r="BQ41" t="str">
        <f>VLOOKUP($AY41,States!$B$4:$AZ$2000,MATCH(AP41,States!$B$3:$AZ$3,FALSE),FALSE)</f>
        <v>Nick Cisler</v>
      </c>
      <c r="BR41" t="str">
        <f>VLOOKUP($BQ41,'Rep Contact info'!$B$3:$D$400,MATCH(BR$1,'Rep Contact info'!$B$2:$D$2,FALSE),FALSE)</f>
        <v>(215) 435-4353</v>
      </c>
      <c r="BS41" t="str">
        <f>VLOOKUP($BQ41,'Rep Contact info'!$B$3:$D$400,MATCH(BS$1,'Rep Contact info'!$B$2:$D$2,FALSE),FALSE)</f>
        <v>ncisler@gmail.com</v>
      </c>
    </row>
  </sheetData>
  <autoFilter ref="A1:BS41" xr:uid="{00000000-0009-0000-0000-000002000000}"/>
  <conditionalFormatting sqref="A2:BS50000">
    <cfRule type="expression" dxfId="4" priority="1">
      <formula>IF($A2="",0,MOD(ROW(),2))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/>
  </sheetPr>
  <dimension ref="A1:BS41"/>
  <sheetViews>
    <sheetView showGridLines="0" workbookViewId="0">
      <pane ySplit="1" topLeftCell="A2" activePane="bottomLeft" state="frozen"/>
      <selection pane="bottomLeft" activeCell="H18" sqref="H18"/>
    </sheetView>
  </sheetViews>
  <sheetFormatPr defaultRowHeight="14.5" outlineLevelCol="1" x14ac:dyDescent="0.35"/>
  <cols>
    <col min="2" max="2" width="8.7265625" customWidth="1"/>
    <col min="3" max="5" width="9.1796875" customWidth="1" outlineLevel="1"/>
    <col min="6" max="6" width="14.81640625" customWidth="1" outlineLevel="1"/>
    <col min="7" max="15" width="9.1796875" customWidth="1" outlineLevel="1"/>
    <col min="16" max="16" width="14.81640625" customWidth="1" outlineLevel="1" collapsed="1"/>
    <col min="17" max="17" width="9.1796875" customWidth="1" outlineLevel="1"/>
    <col min="19" max="24" width="9.1796875" customWidth="1" outlineLevel="1"/>
    <col min="25" max="25" width="9.1796875" customWidth="1" outlineLevel="1" collapsed="1"/>
    <col min="26" max="34" width="9.1796875" customWidth="1" outlineLevel="1"/>
    <col min="46" max="50" width="9.1796875" customWidth="1" outlineLevel="1"/>
    <col min="52" max="68" width="9.1796875" customWidth="1" outlineLevel="1"/>
    <col min="69" max="69" width="13.26953125" bestFit="1" customWidth="1"/>
    <col min="70" max="70" width="14.54296875" bestFit="1" customWidth="1"/>
    <col min="71" max="71" width="22.81640625" bestFit="1" customWidth="1"/>
  </cols>
  <sheetData>
    <row r="1" spans="1:71" x14ac:dyDescent="0.35">
      <c r="A1" t="s">
        <v>100</v>
      </c>
      <c r="B1" s="15" t="s">
        <v>101</v>
      </c>
      <c r="C1" s="15" t="s">
        <v>102</v>
      </c>
      <c r="D1" s="15" t="s">
        <v>103</v>
      </c>
      <c r="E1" s="15" t="s">
        <v>104</v>
      </c>
      <c r="F1" s="15" t="s">
        <v>105</v>
      </c>
      <c r="G1" s="15" t="s">
        <v>106</v>
      </c>
      <c r="H1" s="15" t="s">
        <v>107</v>
      </c>
      <c r="I1" s="15" t="s">
        <v>108</v>
      </c>
      <c r="J1" s="15" t="s">
        <v>109</v>
      </c>
      <c r="K1" s="15" t="s">
        <v>110</v>
      </c>
      <c r="L1" s="15" t="s">
        <v>111</v>
      </c>
      <c r="M1" s="15" t="s">
        <v>112</v>
      </c>
      <c r="N1" s="15" t="s">
        <v>113</v>
      </c>
      <c r="O1" s="15" t="s">
        <v>114</v>
      </c>
      <c r="P1" s="15" t="s">
        <v>115</v>
      </c>
      <c r="Q1" s="15" t="s">
        <v>116</v>
      </c>
      <c r="R1" s="15" t="s">
        <v>117</v>
      </c>
      <c r="S1" s="15" t="s">
        <v>118</v>
      </c>
      <c r="T1" s="15" t="s">
        <v>119</v>
      </c>
      <c r="U1" s="15" t="s">
        <v>120</v>
      </c>
      <c r="V1" s="15" t="s">
        <v>121</v>
      </c>
      <c r="W1" s="15" t="s">
        <v>122</v>
      </c>
      <c r="X1" s="15" t="s">
        <v>123</v>
      </c>
      <c r="Y1" s="15" t="s">
        <v>124</v>
      </c>
      <c r="Z1" s="15" t="s">
        <v>125</v>
      </c>
      <c r="AA1" s="15" t="s">
        <v>126</v>
      </c>
      <c r="AB1" s="15" t="s">
        <v>127</v>
      </c>
      <c r="AC1" s="15" t="s">
        <v>128</v>
      </c>
      <c r="AD1" s="15" t="s">
        <v>129</v>
      </c>
      <c r="AE1" s="15" t="s">
        <v>130</v>
      </c>
      <c r="AF1" s="15" t="s">
        <v>131</v>
      </c>
      <c r="AG1" s="15" t="s">
        <v>132</v>
      </c>
      <c r="AH1" s="15" t="s">
        <v>133</v>
      </c>
      <c r="AI1" s="15" t="s">
        <v>134</v>
      </c>
      <c r="AJ1" s="15" t="s">
        <v>135</v>
      </c>
      <c r="AK1" s="15" t="s">
        <v>136</v>
      </c>
      <c r="AL1" s="15" t="s">
        <v>137</v>
      </c>
      <c r="AM1" s="15" t="s">
        <v>138</v>
      </c>
      <c r="AN1" s="15" t="s">
        <v>139</v>
      </c>
      <c r="AO1" s="15" t="s">
        <v>140</v>
      </c>
      <c r="AP1" s="16" t="s">
        <v>141</v>
      </c>
      <c r="AQ1" s="15" t="s">
        <v>142</v>
      </c>
      <c r="AR1" s="15" t="s">
        <v>143</v>
      </c>
      <c r="AS1" s="15" t="s">
        <v>144</v>
      </c>
      <c r="AT1" s="15" t="s">
        <v>145</v>
      </c>
      <c r="AU1" s="15" t="s">
        <v>146</v>
      </c>
      <c r="AV1" s="15" t="s">
        <v>147</v>
      </c>
      <c r="AW1" s="15" t="s">
        <v>148</v>
      </c>
      <c r="AX1" s="15" t="s">
        <v>149</v>
      </c>
      <c r="AY1" s="16" t="s">
        <v>150</v>
      </c>
      <c r="AZ1" s="15" t="s">
        <v>151</v>
      </c>
      <c r="BA1" s="15" t="s">
        <v>152</v>
      </c>
      <c r="BB1" s="15" t="s">
        <v>153</v>
      </c>
      <c r="BC1" s="15" t="s">
        <v>154</v>
      </c>
      <c r="BD1" s="15" t="s">
        <v>155</v>
      </c>
      <c r="BE1" s="15" t="s">
        <v>156</v>
      </c>
      <c r="BF1" s="15" t="s">
        <v>157</v>
      </c>
      <c r="BG1" s="15" t="s">
        <v>158</v>
      </c>
      <c r="BH1" s="15" t="s">
        <v>159</v>
      </c>
      <c r="BI1" s="15" t="s">
        <v>160</v>
      </c>
      <c r="BJ1" s="15" t="s">
        <v>161</v>
      </c>
      <c r="BK1" s="15" t="s">
        <v>162</v>
      </c>
      <c r="BL1" s="15" t="s">
        <v>163</v>
      </c>
      <c r="BM1" s="15" t="s">
        <v>164</v>
      </c>
      <c r="BN1" s="15" t="s">
        <v>165</v>
      </c>
      <c r="BO1" s="15" t="s">
        <v>166</v>
      </c>
      <c r="BP1" s="15" t="s">
        <v>167</v>
      </c>
      <c r="BQ1" s="21" t="s">
        <v>100</v>
      </c>
      <c r="BR1" s="21" t="s">
        <v>279</v>
      </c>
      <c r="BS1" s="21" t="s">
        <v>101</v>
      </c>
    </row>
    <row r="2" spans="1:71" x14ac:dyDescent="0.35">
      <c r="F2" s="1"/>
      <c r="P2" s="1"/>
      <c r="AZ2" s="2"/>
      <c r="BQ2" t="e">
        <f>VLOOKUP($AY2,States!$B$4:$AZ$2000,MATCH(AP2,States!$B$3:$AZ$3,FALSE),FALSE)</f>
        <v>#N/A</v>
      </c>
      <c r="BR2" t="e">
        <f>VLOOKUP($BQ2,'Rep Contact info'!$B$3:$D$400,MATCH(BR$1,'Rep Contact info'!$B$2:$D$2,FALSE),FALSE)</f>
        <v>#N/A</v>
      </c>
      <c r="BS2" t="e">
        <f>VLOOKUP($BQ2,'Rep Contact info'!$B$3:$D$400,MATCH(BS$1,'Rep Contact info'!$B$2:$D$2,FALSE),FALSE)</f>
        <v>#N/A</v>
      </c>
    </row>
    <row r="3" spans="1:71" x14ac:dyDescent="0.35">
      <c r="P3" s="1"/>
      <c r="BQ3" t="e">
        <f>VLOOKUP($AY3,States!$B$4:$AZ$2000,MATCH(AP3,States!$B$3:$AZ$3,FALSE),FALSE)</f>
        <v>#N/A</v>
      </c>
      <c r="BR3" t="e">
        <f>VLOOKUP($BQ3,'Rep Contact info'!$B$3:$D$400,MATCH(BR$1,'Rep Contact info'!$B$2:$D$2,FALSE),FALSE)</f>
        <v>#N/A</v>
      </c>
      <c r="BS3" t="e">
        <f>VLOOKUP($BQ3,'Rep Contact info'!$B$3:$D$400,MATCH(BS$1,'Rep Contact info'!$B$2:$D$2,FALSE),FALSE)</f>
        <v>#N/A</v>
      </c>
    </row>
    <row r="4" spans="1:71" x14ac:dyDescent="0.35">
      <c r="P4" s="1"/>
      <c r="BQ4" t="e">
        <f>VLOOKUP($AY4,States!$B$4:$AZ$2000,MATCH(AP4,States!$B$3:$AZ$3,FALSE),FALSE)</f>
        <v>#N/A</v>
      </c>
      <c r="BR4" t="e">
        <f>VLOOKUP($BQ4,'Rep Contact info'!$B$3:$D$400,MATCH(BR$1,'Rep Contact info'!$B$2:$D$2,FALSE),FALSE)</f>
        <v>#N/A</v>
      </c>
      <c r="BS4" t="e">
        <f>VLOOKUP($BQ4,'Rep Contact info'!$B$3:$D$400,MATCH(BS$1,'Rep Contact info'!$B$2:$D$2,FALSE),FALSE)</f>
        <v>#N/A</v>
      </c>
    </row>
    <row r="5" spans="1:71" x14ac:dyDescent="0.35">
      <c r="P5" s="1"/>
      <c r="BQ5" t="e">
        <f>VLOOKUP($AY5,States!$B$4:$AZ$2000,MATCH(AP5,States!$B$3:$AZ$3,FALSE),FALSE)</f>
        <v>#N/A</v>
      </c>
      <c r="BR5" t="e">
        <f>VLOOKUP($BQ5,'Rep Contact info'!$B$3:$D$400,MATCH(BR$1,'Rep Contact info'!$B$2:$D$2,FALSE),FALSE)</f>
        <v>#N/A</v>
      </c>
      <c r="BS5" t="e">
        <f>VLOOKUP($BQ5,'Rep Contact info'!$B$3:$D$400,MATCH(BS$1,'Rep Contact info'!$B$2:$D$2,FALSE),FALSE)</f>
        <v>#N/A</v>
      </c>
    </row>
    <row r="6" spans="1:71" x14ac:dyDescent="0.35">
      <c r="P6" s="1"/>
      <c r="BQ6" t="e">
        <f>VLOOKUP($AY6,States!$B$4:$AZ$2000,MATCH(AP6,States!$B$3:$AZ$3,FALSE),FALSE)</f>
        <v>#N/A</v>
      </c>
      <c r="BR6" t="e">
        <f>VLOOKUP($BQ6,'Rep Contact info'!$B$3:$D$400,MATCH(BR$1,'Rep Contact info'!$B$2:$D$2,FALSE),FALSE)</f>
        <v>#N/A</v>
      </c>
      <c r="BS6" t="e">
        <f>VLOOKUP($BQ6,'Rep Contact info'!$B$3:$D$400,MATCH(BS$1,'Rep Contact info'!$B$2:$D$2,FALSE),FALSE)</f>
        <v>#N/A</v>
      </c>
    </row>
    <row r="7" spans="1:71" x14ac:dyDescent="0.35">
      <c r="P7" s="1"/>
      <c r="BQ7" t="e">
        <f>VLOOKUP($AY7,States!$B$4:$AZ$2000,MATCH(AP7,States!$B$3:$AZ$3,FALSE),FALSE)</f>
        <v>#N/A</v>
      </c>
      <c r="BR7" t="e">
        <f>VLOOKUP($BQ7,'Rep Contact info'!$B$3:$D$400,MATCH(BR$1,'Rep Contact info'!$B$2:$D$2,FALSE),FALSE)</f>
        <v>#N/A</v>
      </c>
      <c r="BS7" t="e">
        <f>VLOOKUP($BQ7,'Rep Contact info'!$B$3:$D$400,MATCH(BS$1,'Rep Contact info'!$B$2:$D$2,FALSE),FALSE)</f>
        <v>#N/A</v>
      </c>
    </row>
    <row r="8" spans="1:71" x14ac:dyDescent="0.35">
      <c r="P8" s="1"/>
      <c r="BQ8" t="e">
        <f>VLOOKUP($AY8,States!$B$4:$AZ$2000,MATCH(AP8,States!$B$3:$AZ$3,FALSE),FALSE)</f>
        <v>#N/A</v>
      </c>
      <c r="BR8" t="e">
        <f>VLOOKUP($BQ8,'Rep Contact info'!$B$3:$D$400,MATCH(BR$1,'Rep Contact info'!$B$2:$D$2,FALSE),FALSE)</f>
        <v>#N/A</v>
      </c>
      <c r="BS8" t="e">
        <f>VLOOKUP($BQ8,'Rep Contact info'!$B$3:$D$400,MATCH(BS$1,'Rep Contact info'!$B$2:$D$2,FALSE),FALSE)</f>
        <v>#N/A</v>
      </c>
    </row>
    <row r="9" spans="1:71" x14ac:dyDescent="0.35">
      <c r="P9" s="1"/>
      <c r="BQ9" t="e">
        <f>VLOOKUP($AY9,States!$B$4:$AZ$2000,MATCH(AP9,States!$B$3:$AZ$3,FALSE),FALSE)</f>
        <v>#N/A</v>
      </c>
      <c r="BR9" t="e">
        <f>VLOOKUP($BQ9,'Rep Contact info'!$B$3:$D$400,MATCH(BR$1,'Rep Contact info'!$B$2:$D$2,FALSE),FALSE)</f>
        <v>#N/A</v>
      </c>
      <c r="BS9" t="e">
        <f>VLOOKUP($BQ9,'Rep Contact info'!$B$3:$D$400,MATCH(BS$1,'Rep Contact info'!$B$2:$D$2,FALSE),FALSE)</f>
        <v>#N/A</v>
      </c>
    </row>
    <row r="10" spans="1:71" x14ac:dyDescent="0.35">
      <c r="P10" s="1"/>
      <c r="BQ10" t="e">
        <f>VLOOKUP($AY10,States!$B$4:$AZ$2000,MATCH(AP10,States!$B$3:$AZ$3,FALSE),FALSE)</f>
        <v>#N/A</v>
      </c>
      <c r="BR10" t="e">
        <f>VLOOKUP($BQ10,'Rep Contact info'!$B$3:$D$400,MATCH(BR$1,'Rep Contact info'!$B$2:$D$2,FALSE),FALSE)</f>
        <v>#N/A</v>
      </c>
      <c r="BS10" t="e">
        <f>VLOOKUP($BQ10,'Rep Contact info'!$B$3:$D$400,MATCH(BS$1,'Rep Contact info'!$B$2:$D$2,FALSE),FALSE)</f>
        <v>#N/A</v>
      </c>
    </row>
    <row r="11" spans="1:71" x14ac:dyDescent="0.35">
      <c r="P11" s="1"/>
      <c r="BQ11" t="e">
        <f>VLOOKUP($AY11,States!$B$4:$AZ$2000,MATCH(AP11,States!$B$3:$AZ$3,FALSE),FALSE)</f>
        <v>#N/A</v>
      </c>
      <c r="BR11" t="e">
        <f>VLOOKUP($BQ11,'Rep Contact info'!$B$3:$D$400,MATCH(BR$1,'Rep Contact info'!$B$2:$D$2,FALSE),FALSE)</f>
        <v>#N/A</v>
      </c>
      <c r="BS11" t="e">
        <f>VLOOKUP($BQ11,'Rep Contact info'!$B$3:$D$400,MATCH(BS$1,'Rep Contact info'!$B$2:$D$2,FALSE),FALSE)</f>
        <v>#N/A</v>
      </c>
    </row>
    <row r="12" spans="1:71" x14ac:dyDescent="0.35">
      <c r="P12" s="1"/>
      <c r="BQ12" t="e">
        <f>VLOOKUP($AY12,States!$B$4:$AZ$2000,MATCH(AP12,States!$B$3:$AZ$3,FALSE),FALSE)</f>
        <v>#N/A</v>
      </c>
      <c r="BR12" t="e">
        <f>VLOOKUP($BQ12,'Rep Contact info'!$B$3:$D$400,MATCH(BR$1,'Rep Contact info'!$B$2:$D$2,FALSE),FALSE)</f>
        <v>#N/A</v>
      </c>
      <c r="BS12" t="e">
        <f>VLOOKUP($BQ12,'Rep Contact info'!$B$3:$D$400,MATCH(BS$1,'Rep Contact info'!$B$2:$D$2,FALSE),FALSE)</f>
        <v>#N/A</v>
      </c>
    </row>
    <row r="13" spans="1:71" x14ac:dyDescent="0.35">
      <c r="P13" s="1"/>
      <c r="BQ13" t="e">
        <f>VLOOKUP($AY13,States!$B$4:$AZ$2000,MATCH(AP13,States!$B$3:$AZ$3,FALSE),FALSE)</f>
        <v>#N/A</v>
      </c>
      <c r="BR13" t="e">
        <f>VLOOKUP($BQ13,'Rep Contact info'!$B$3:$D$400,MATCH(BR$1,'Rep Contact info'!$B$2:$D$2,FALSE),FALSE)</f>
        <v>#N/A</v>
      </c>
      <c r="BS13" t="e">
        <f>VLOOKUP($BQ13,'Rep Contact info'!$B$3:$D$400,MATCH(BS$1,'Rep Contact info'!$B$2:$D$2,FALSE),FALSE)</f>
        <v>#N/A</v>
      </c>
    </row>
    <row r="14" spans="1:71" x14ac:dyDescent="0.35">
      <c r="P14" s="1"/>
      <c r="BQ14" t="e">
        <f>VLOOKUP($AY14,States!$B$4:$AZ$2000,MATCH(AP14,States!$B$3:$AZ$3,FALSE),FALSE)</f>
        <v>#N/A</v>
      </c>
      <c r="BR14" t="e">
        <f>VLOOKUP($BQ14,'Rep Contact info'!$B$3:$D$400,MATCH(BR$1,'Rep Contact info'!$B$2:$D$2,FALSE),FALSE)</f>
        <v>#N/A</v>
      </c>
      <c r="BS14" t="e">
        <f>VLOOKUP($BQ14,'Rep Contact info'!$B$3:$D$400,MATCH(BS$1,'Rep Contact info'!$B$2:$D$2,FALSE),FALSE)</f>
        <v>#N/A</v>
      </c>
    </row>
    <row r="15" spans="1:71" x14ac:dyDescent="0.35">
      <c r="P15" s="1"/>
      <c r="BQ15" t="e">
        <f>VLOOKUP($AY15,States!$B$4:$AZ$2000,MATCH(AP15,States!$B$3:$AZ$3,FALSE),FALSE)</f>
        <v>#N/A</v>
      </c>
      <c r="BR15" t="e">
        <f>VLOOKUP($BQ15,'Rep Contact info'!$B$3:$D$400,MATCH(BR$1,'Rep Contact info'!$B$2:$D$2,FALSE),FALSE)</f>
        <v>#N/A</v>
      </c>
      <c r="BS15" t="e">
        <f>VLOOKUP($BQ15,'Rep Contact info'!$B$3:$D$400,MATCH(BS$1,'Rep Contact info'!$B$2:$D$2,FALSE),FALSE)</f>
        <v>#N/A</v>
      </c>
    </row>
    <row r="16" spans="1:71" x14ac:dyDescent="0.35">
      <c r="P16" s="1"/>
      <c r="BQ16" t="e">
        <f>VLOOKUP($AY16,States!$B$4:$AZ$2000,MATCH(AP16,States!$B$3:$AZ$3,FALSE),FALSE)</f>
        <v>#N/A</v>
      </c>
      <c r="BR16" t="e">
        <f>VLOOKUP($BQ16,'Rep Contact info'!$B$3:$D$400,MATCH(BR$1,'Rep Contact info'!$B$2:$D$2,FALSE),FALSE)</f>
        <v>#N/A</v>
      </c>
      <c r="BS16" t="e">
        <f>VLOOKUP($BQ16,'Rep Contact info'!$B$3:$D$400,MATCH(BS$1,'Rep Contact info'!$B$2:$D$2,FALSE),FALSE)</f>
        <v>#N/A</v>
      </c>
    </row>
    <row r="17" spans="6:71" x14ac:dyDescent="0.35">
      <c r="P17" s="1"/>
      <c r="BQ17" t="e">
        <f>VLOOKUP($AY17,States!$B$4:$AZ$2000,MATCH(AP17,States!$B$3:$AZ$3,FALSE),FALSE)</f>
        <v>#N/A</v>
      </c>
      <c r="BR17" t="e">
        <f>VLOOKUP($BQ17,'Rep Contact info'!$B$3:$D$400,MATCH(BR$1,'Rep Contact info'!$B$2:$D$2,FALSE),FALSE)</f>
        <v>#N/A</v>
      </c>
      <c r="BS17" t="e">
        <f>VLOOKUP($BQ17,'Rep Contact info'!$B$3:$D$400,MATCH(BS$1,'Rep Contact info'!$B$2:$D$2,FALSE),FALSE)</f>
        <v>#N/A</v>
      </c>
    </row>
    <row r="18" spans="6:71" x14ac:dyDescent="0.35">
      <c r="P18" s="1"/>
      <c r="BQ18" t="e">
        <f>VLOOKUP($AY18,States!$B$4:$AZ$2000,MATCH(AP18,States!$B$3:$AZ$3,FALSE),FALSE)</f>
        <v>#N/A</v>
      </c>
      <c r="BR18" t="e">
        <f>VLOOKUP($BQ18,'Rep Contact info'!$B$3:$D$400,MATCH(BR$1,'Rep Contact info'!$B$2:$D$2,FALSE),FALSE)</f>
        <v>#N/A</v>
      </c>
      <c r="BS18" t="e">
        <f>VLOOKUP($BQ18,'Rep Contact info'!$B$3:$D$400,MATCH(BS$1,'Rep Contact info'!$B$2:$D$2,FALSE),FALSE)</f>
        <v>#N/A</v>
      </c>
    </row>
    <row r="19" spans="6:71" x14ac:dyDescent="0.35">
      <c r="P19" s="1"/>
      <c r="BQ19" t="e">
        <f>VLOOKUP($AY19,States!$B$4:$AZ$2000,MATCH(AP19,States!$B$3:$AZ$3,FALSE),FALSE)</f>
        <v>#N/A</v>
      </c>
      <c r="BR19" t="e">
        <f>VLOOKUP($BQ19,'Rep Contact info'!$B$3:$D$400,MATCH(BR$1,'Rep Contact info'!$B$2:$D$2,FALSE),FALSE)</f>
        <v>#N/A</v>
      </c>
      <c r="BS19" t="e">
        <f>VLOOKUP($BQ19,'Rep Contact info'!$B$3:$D$400,MATCH(BS$1,'Rep Contact info'!$B$2:$D$2,FALSE),FALSE)</f>
        <v>#N/A</v>
      </c>
    </row>
    <row r="20" spans="6:71" x14ac:dyDescent="0.35">
      <c r="P20" s="1"/>
      <c r="BQ20" t="e">
        <f>VLOOKUP($AY20,States!$B$4:$AZ$2000,MATCH(AP20,States!$B$3:$AZ$3,FALSE),FALSE)</f>
        <v>#N/A</v>
      </c>
      <c r="BR20" t="e">
        <f>VLOOKUP($BQ20,'Rep Contact info'!$B$3:$D$400,MATCH(BR$1,'Rep Contact info'!$B$2:$D$2,FALSE),FALSE)</f>
        <v>#N/A</v>
      </c>
      <c r="BS20" t="e">
        <f>VLOOKUP($BQ20,'Rep Contact info'!$B$3:$D$400,MATCH(BS$1,'Rep Contact info'!$B$2:$D$2,FALSE),FALSE)</f>
        <v>#N/A</v>
      </c>
    </row>
    <row r="21" spans="6:71" x14ac:dyDescent="0.35">
      <c r="F21" s="1"/>
      <c r="P21" s="1"/>
      <c r="AZ21" s="2"/>
      <c r="BQ21" t="e">
        <f>VLOOKUP($AY21,States!$B$4:$AZ$2000,MATCH(AP21,States!$B$3:$AZ$3,FALSE),FALSE)</f>
        <v>#N/A</v>
      </c>
      <c r="BR21" t="e">
        <f>VLOOKUP($BQ21,'Rep Contact info'!$B$3:$D$400,MATCH(BR$1,'Rep Contact info'!$B$2:$D$2,FALSE),FALSE)</f>
        <v>#N/A</v>
      </c>
      <c r="BS21" t="e">
        <f>VLOOKUP($BQ21,'Rep Contact info'!$B$3:$D$400,MATCH(BS$1,'Rep Contact info'!$B$2:$D$2,FALSE),FALSE)</f>
        <v>#N/A</v>
      </c>
    </row>
    <row r="22" spans="6:71" x14ac:dyDescent="0.35">
      <c r="P22" s="1"/>
      <c r="BQ22" t="e">
        <f>VLOOKUP($AY22,States!$B$4:$AZ$2000,MATCH(AP22,States!$B$3:$AZ$3,FALSE),FALSE)</f>
        <v>#N/A</v>
      </c>
      <c r="BR22" t="e">
        <f>VLOOKUP($BQ22,'Rep Contact info'!$B$3:$D$400,MATCH(BR$1,'Rep Contact info'!$B$2:$D$2,FALSE),FALSE)</f>
        <v>#N/A</v>
      </c>
      <c r="BS22" t="e">
        <f>VLOOKUP($BQ22,'Rep Contact info'!$B$3:$D$400,MATCH(BS$1,'Rep Contact info'!$B$2:$D$2,FALSE),FALSE)</f>
        <v>#N/A</v>
      </c>
    </row>
    <row r="23" spans="6:71" x14ac:dyDescent="0.35">
      <c r="F23" s="1"/>
      <c r="P23" s="1"/>
      <c r="AZ23" s="2"/>
      <c r="BQ23" t="e">
        <f>VLOOKUP($AY23,States!$B$4:$AZ$2000,MATCH(AP23,States!$B$3:$AZ$3,FALSE),FALSE)</f>
        <v>#N/A</v>
      </c>
      <c r="BR23" t="e">
        <f>VLOOKUP($BQ23,'Rep Contact info'!$B$3:$D$400,MATCH(BR$1,'Rep Contact info'!$B$2:$D$2,FALSE),FALSE)</f>
        <v>#N/A</v>
      </c>
      <c r="BS23" t="e">
        <f>VLOOKUP($BQ23,'Rep Contact info'!$B$3:$D$400,MATCH(BS$1,'Rep Contact info'!$B$2:$D$2,FALSE),FALSE)</f>
        <v>#N/A</v>
      </c>
    </row>
    <row r="24" spans="6:71" x14ac:dyDescent="0.35">
      <c r="P24" s="1"/>
      <c r="BQ24" t="e">
        <f>VLOOKUP($AY24,States!$B$4:$AZ$2000,MATCH(AP24,States!$B$3:$AZ$3,FALSE),FALSE)</f>
        <v>#N/A</v>
      </c>
      <c r="BR24" t="e">
        <f>VLOOKUP($BQ24,'Rep Contact info'!$B$3:$D$400,MATCH(BR$1,'Rep Contact info'!$B$2:$D$2,FALSE),FALSE)</f>
        <v>#N/A</v>
      </c>
      <c r="BS24" t="e">
        <f>VLOOKUP($BQ24,'Rep Contact info'!$B$3:$D$400,MATCH(BS$1,'Rep Contact info'!$B$2:$D$2,FALSE),FALSE)</f>
        <v>#N/A</v>
      </c>
    </row>
    <row r="25" spans="6:71" x14ac:dyDescent="0.35">
      <c r="F25" s="1"/>
      <c r="P25" s="1"/>
      <c r="AZ25" s="2"/>
      <c r="BQ25" t="e">
        <f>VLOOKUP($AY25,States!$B$4:$AZ$2000,MATCH(AP25,States!$B$3:$AZ$3,FALSE),FALSE)</f>
        <v>#N/A</v>
      </c>
      <c r="BR25" t="e">
        <f>VLOOKUP($BQ25,'Rep Contact info'!$B$3:$D$400,MATCH(BR$1,'Rep Contact info'!$B$2:$D$2,FALSE),FALSE)</f>
        <v>#N/A</v>
      </c>
      <c r="BS25" t="e">
        <f>VLOOKUP($BQ25,'Rep Contact info'!$B$3:$D$400,MATCH(BS$1,'Rep Contact info'!$B$2:$D$2,FALSE),FALSE)</f>
        <v>#N/A</v>
      </c>
    </row>
    <row r="26" spans="6:71" x14ac:dyDescent="0.35">
      <c r="P26" s="1"/>
      <c r="BQ26" t="e">
        <f>VLOOKUP($AY26,States!$B$4:$AZ$2000,MATCH(AP26,States!$B$3:$AZ$3,FALSE),FALSE)</f>
        <v>#N/A</v>
      </c>
      <c r="BR26" t="e">
        <f>VLOOKUP($BQ26,'Rep Contact info'!$B$3:$D$400,MATCH(BR$1,'Rep Contact info'!$B$2:$D$2,FALSE),FALSE)</f>
        <v>#N/A</v>
      </c>
      <c r="BS26" t="e">
        <f>VLOOKUP($BQ26,'Rep Contact info'!$B$3:$D$400,MATCH(BS$1,'Rep Contact info'!$B$2:$D$2,FALSE),FALSE)</f>
        <v>#N/A</v>
      </c>
    </row>
    <row r="27" spans="6:71" x14ac:dyDescent="0.35">
      <c r="F27" s="1"/>
      <c r="P27" s="1"/>
      <c r="AZ27" s="2"/>
      <c r="BQ27" t="e">
        <f>VLOOKUP($AY27,States!$B$4:$AZ$2000,MATCH(AP27,States!$B$3:$AZ$3,FALSE),FALSE)</f>
        <v>#N/A</v>
      </c>
      <c r="BR27" t="e">
        <f>VLOOKUP($BQ27,'Rep Contact info'!$B$3:$D$400,MATCH(BR$1,'Rep Contact info'!$B$2:$D$2,FALSE),FALSE)</f>
        <v>#N/A</v>
      </c>
      <c r="BS27" t="e">
        <f>VLOOKUP($BQ27,'Rep Contact info'!$B$3:$D$400,MATCH(BS$1,'Rep Contact info'!$B$2:$D$2,FALSE),FALSE)</f>
        <v>#N/A</v>
      </c>
    </row>
    <row r="28" spans="6:71" x14ac:dyDescent="0.35">
      <c r="P28" s="1"/>
      <c r="BQ28" t="e">
        <f>VLOOKUP($AY28,States!$B$4:$AZ$2000,MATCH(AP28,States!$B$3:$AZ$3,FALSE),FALSE)</f>
        <v>#N/A</v>
      </c>
      <c r="BR28" t="e">
        <f>VLOOKUP($BQ28,'Rep Contact info'!$B$3:$D$400,MATCH(BR$1,'Rep Contact info'!$B$2:$D$2,FALSE),FALSE)</f>
        <v>#N/A</v>
      </c>
      <c r="BS28" t="e">
        <f>VLOOKUP($BQ28,'Rep Contact info'!$B$3:$D$400,MATCH(BS$1,'Rep Contact info'!$B$2:$D$2,FALSE),FALSE)</f>
        <v>#N/A</v>
      </c>
    </row>
    <row r="29" spans="6:71" x14ac:dyDescent="0.35">
      <c r="P29" s="1"/>
      <c r="BQ29" t="e">
        <f>VLOOKUP($AY29,States!$B$4:$AZ$2000,MATCH(AP29,States!$B$3:$AZ$3,FALSE),FALSE)</f>
        <v>#N/A</v>
      </c>
      <c r="BR29" t="e">
        <f>VLOOKUP($BQ29,'Rep Contact info'!$B$3:$D$400,MATCH(BR$1,'Rep Contact info'!$B$2:$D$2,FALSE),FALSE)</f>
        <v>#N/A</v>
      </c>
      <c r="BS29" t="e">
        <f>VLOOKUP($BQ29,'Rep Contact info'!$B$3:$D$400,MATCH(BS$1,'Rep Contact info'!$B$2:$D$2,FALSE),FALSE)</f>
        <v>#N/A</v>
      </c>
    </row>
    <row r="30" spans="6:71" x14ac:dyDescent="0.35">
      <c r="F30" s="1"/>
      <c r="P30" s="1"/>
      <c r="AZ30" s="2"/>
      <c r="BQ30" t="e">
        <f>VLOOKUP($AY30,States!$B$4:$AZ$2000,MATCH(AP30,States!$B$3:$AZ$3,FALSE),FALSE)</f>
        <v>#N/A</v>
      </c>
      <c r="BR30" t="e">
        <f>VLOOKUP($BQ30,'Rep Contact info'!$B$3:$D$400,MATCH(BR$1,'Rep Contact info'!$B$2:$D$2,FALSE),FALSE)</f>
        <v>#N/A</v>
      </c>
      <c r="BS30" t="e">
        <f>VLOOKUP($BQ30,'Rep Contact info'!$B$3:$D$400,MATCH(BS$1,'Rep Contact info'!$B$2:$D$2,FALSE),FALSE)</f>
        <v>#N/A</v>
      </c>
    </row>
    <row r="31" spans="6:71" x14ac:dyDescent="0.35">
      <c r="F31" s="1"/>
      <c r="P31" s="1"/>
      <c r="AZ31" s="2"/>
      <c r="BQ31" t="e">
        <f>VLOOKUP($AY31,States!$B$4:$AZ$2000,MATCH(AP31,States!$B$3:$AZ$3,FALSE),FALSE)</f>
        <v>#N/A</v>
      </c>
      <c r="BR31" t="e">
        <f>VLOOKUP($BQ31,'Rep Contact info'!$B$3:$D$400,MATCH(BR$1,'Rep Contact info'!$B$2:$D$2,FALSE),FALSE)</f>
        <v>#N/A</v>
      </c>
      <c r="BS31" t="e">
        <f>VLOOKUP($BQ31,'Rep Contact info'!$B$3:$D$400,MATCH(BS$1,'Rep Contact info'!$B$2:$D$2,FALSE),FALSE)</f>
        <v>#N/A</v>
      </c>
    </row>
    <row r="32" spans="6:71" x14ac:dyDescent="0.35">
      <c r="F32" s="1"/>
      <c r="P32" s="1"/>
      <c r="AZ32" s="2"/>
      <c r="BQ32" t="e">
        <f>VLOOKUP($AY32,States!$B$4:$AZ$2000,MATCH(AP32,States!$B$3:$AZ$3,FALSE),FALSE)</f>
        <v>#N/A</v>
      </c>
      <c r="BR32" t="e">
        <f>VLOOKUP($BQ32,'Rep Contact info'!$B$3:$D$400,MATCH(BR$1,'Rep Contact info'!$B$2:$D$2,FALSE),FALSE)</f>
        <v>#N/A</v>
      </c>
      <c r="BS32" t="e">
        <f>VLOOKUP($BQ32,'Rep Contact info'!$B$3:$D$400,MATCH(BS$1,'Rep Contact info'!$B$2:$D$2,FALSE),FALSE)</f>
        <v>#N/A</v>
      </c>
    </row>
    <row r="33" spans="6:71" x14ac:dyDescent="0.35">
      <c r="P33" s="1"/>
      <c r="BQ33" t="e">
        <f>VLOOKUP($AY33,States!$B$4:$AZ$2000,MATCH(AP33,States!$B$3:$AZ$3,FALSE),FALSE)</f>
        <v>#N/A</v>
      </c>
      <c r="BR33" t="e">
        <f>VLOOKUP($BQ33,'Rep Contact info'!$B$3:$D$400,MATCH(BR$1,'Rep Contact info'!$B$2:$D$2,FALSE),FALSE)</f>
        <v>#N/A</v>
      </c>
      <c r="BS33" t="e">
        <f>VLOOKUP($BQ33,'Rep Contact info'!$B$3:$D$400,MATCH(BS$1,'Rep Contact info'!$B$2:$D$2,FALSE),FALSE)</f>
        <v>#N/A</v>
      </c>
    </row>
    <row r="34" spans="6:71" x14ac:dyDescent="0.35">
      <c r="F34" s="1"/>
      <c r="P34" s="1"/>
      <c r="AZ34" s="2"/>
      <c r="BQ34" t="e">
        <f>VLOOKUP($AY34,States!$B$4:$AZ$2000,MATCH(AP34,States!$B$3:$AZ$3,FALSE),FALSE)</f>
        <v>#N/A</v>
      </c>
      <c r="BR34" t="e">
        <f>VLOOKUP($BQ34,'Rep Contact info'!$B$3:$D$400,MATCH(BR$1,'Rep Contact info'!$B$2:$D$2,FALSE),FALSE)</f>
        <v>#N/A</v>
      </c>
      <c r="BS34" t="e">
        <f>VLOOKUP($BQ34,'Rep Contact info'!$B$3:$D$400,MATCH(BS$1,'Rep Contact info'!$B$2:$D$2,FALSE),FALSE)</f>
        <v>#N/A</v>
      </c>
    </row>
    <row r="35" spans="6:71" x14ac:dyDescent="0.35">
      <c r="P35" s="1"/>
      <c r="BQ35" t="e">
        <f>VLOOKUP($AY35,States!$B$4:$AZ$2000,MATCH(AP35,States!$B$3:$AZ$3,FALSE),FALSE)</f>
        <v>#N/A</v>
      </c>
      <c r="BR35" t="e">
        <f>VLOOKUP($BQ35,'Rep Contact info'!$B$3:$D$400,MATCH(BR$1,'Rep Contact info'!$B$2:$D$2,FALSE),FALSE)</f>
        <v>#N/A</v>
      </c>
      <c r="BS35" t="e">
        <f>VLOOKUP($BQ35,'Rep Contact info'!$B$3:$D$400,MATCH(BS$1,'Rep Contact info'!$B$2:$D$2,FALSE),FALSE)</f>
        <v>#N/A</v>
      </c>
    </row>
    <row r="36" spans="6:71" x14ac:dyDescent="0.35">
      <c r="P36" s="1"/>
      <c r="BQ36" t="e">
        <f>VLOOKUP($AY36,States!$B$4:$AZ$2000,MATCH(AP36,States!$B$3:$AZ$3,FALSE),FALSE)</f>
        <v>#N/A</v>
      </c>
      <c r="BR36" t="e">
        <f>VLOOKUP($BQ36,'Rep Contact info'!$B$3:$D$400,MATCH(BR$1,'Rep Contact info'!$B$2:$D$2,FALSE),FALSE)</f>
        <v>#N/A</v>
      </c>
      <c r="BS36" t="e">
        <f>VLOOKUP($BQ36,'Rep Contact info'!$B$3:$D$400,MATCH(BS$1,'Rep Contact info'!$B$2:$D$2,FALSE),FALSE)</f>
        <v>#N/A</v>
      </c>
    </row>
    <row r="37" spans="6:71" x14ac:dyDescent="0.35">
      <c r="F37" s="1"/>
      <c r="P37" s="1"/>
      <c r="AZ37" s="2"/>
      <c r="BQ37" t="e">
        <f>VLOOKUP($AY37,States!$B$4:$AZ$2000,MATCH(AP37,States!$B$3:$AZ$3,FALSE),FALSE)</f>
        <v>#N/A</v>
      </c>
      <c r="BR37" t="e">
        <f>VLOOKUP($BQ37,'Rep Contact info'!$B$3:$D$400,MATCH(BR$1,'Rep Contact info'!$B$2:$D$2,FALSE),FALSE)</f>
        <v>#N/A</v>
      </c>
      <c r="BS37" t="e">
        <f>VLOOKUP($BQ37,'Rep Contact info'!$B$3:$D$400,MATCH(BS$1,'Rep Contact info'!$B$2:$D$2,FALSE),FALSE)</f>
        <v>#N/A</v>
      </c>
    </row>
    <row r="38" spans="6:71" x14ac:dyDescent="0.35">
      <c r="F38" s="1"/>
      <c r="P38" s="1"/>
      <c r="AZ38" s="2"/>
      <c r="BQ38" t="e">
        <f>VLOOKUP($AY38,States!$B$4:$AZ$2000,MATCH(AP38,States!$B$3:$AZ$3,FALSE),FALSE)</f>
        <v>#N/A</v>
      </c>
      <c r="BR38" t="e">
        <f>VLOOKUP($BQ38,'Rep Contact info'!$B$3:$D$400,MATCH(BR$1,'Rep Contact info'!$B$2:$D$2,FALSE),FALSE)</f>
        <v>#N/A</v>
      </c>
      <c r="BS38" t="e">
        <f>VLOOKUP($BQ38,'Rep Contact info'!$B$3:$D$400,MATCH(BS$1,'Rep Contact info'!$B$2:$D$2,FALSE),FALSE)</f>
        <v>#N/A</v>
      </c>
    </row>
    <row r="39" spans="6:71" x14ac:dyDescent="0.35">
      <c r="F39" s="1"/>
      <c r="P39" s="1"/>
      <c r="AZ39" s="2"/>
      <c r="BQ39" t="e">
        <f>VLOOKUP($AY39,States!$B$4:$AZ$2000,MATCH(AP39,States!$B$3:$AZ$3,FALSE),FALSE)</f>
        <v>#N/A</v>
      </c>
      <c r="BR39" t="e">
        <f>VLOOKUP($BQ39,'Rep Contact info'!$B$3:$D$400,MATCH(BR$1,'Rep Contact info'!$B$2:$D$2,FALSE),FALSE)</f>
        <v>#N/A</v>
      </c>
      <c r="BS39" t="e">
        <f>VLOOKUP($BQ39,'Rep Contact info'!$B$3:$D$400,MATCH(BS$1,'Rep Contact info'!$B$2:$D$2,FALSE),FALSE)</f>
        <v>#N/A</v>
      </c>
    </row>
    <row r="40" spans="6:71" x14ac:dyDescent="0.35">
      <c r="F40" s="1"/>
      <c r="P40" s="1"/>
      <c r="AZ40" s="2"/>
      <c r="BQ40" t="e">
        <f>VLOOKUP($AY40,States!$B$4:$AZ$2000,MATCH(AP40,States!$B$3:$AZ$3,FALSE),FALSE)</f>
        <v>#N/A</v>
      </c>
      <c r="BR40" t="e">
        <f>VLOOKUP($BQ40,'Rep Contact info'!$B$3:$D$400,MATCH(BR$1,'Rep Contact info'!$B$2:$D$2,FALSE),FALSE)</f>
        <v>#N/A</v>
      </c>
      <c r="BS40" t="e">
        <f>VLOOKUP($BQ40,'Rep Contact info'!$B$3:$D$400,MATCH(BS$1,'Rep Contact info'!$B$2:$D$2,FALSE),FALSE)</f>
        <v>#N/A</v>
      </c>
    </row>
    <row r="41" spans="6:71" x14ac:dyDescent="0.35">
      <c r="F41" s="1"/>
      <c r="P41" s="1"/>
      <c r="AZ41" s="2"/>
      <c r="BQ41" t="e">
        <f>VLOOKUP($AY41,States!$B$4:$AZ$2000,MATCH(AP41,States!$B$3:$AZ$3,FALSE),FALSE)</f>
        <v>#N/A</v>
      </c>
      <c r="BR41" t="e">
        <f>VLOOKUP($BQ41,'Rep Contact info'!$B$3:$D$400,MATCH(BR$1,'Rep Contact info'!$B$2:$D$2,FALSE),FALSE)</f>
        <v>#N/A</v>
      </c>
      <c r="BS41" t="e">
        <f>VLOOKUP($BQ41,'Rep Contact info'!$B$3:$D$400,MATCH(BS$1,'Rep Contact info'!$B$2:$D$2,FALSE),FALSE)</f>
        <v>#N/A</v>
      </c>
    </row>
  </sheetData>
  <autoFilter ref="A1:BS41" xr:uid="{00000000-0009-0000-0000-000003000000}"/>
  <conditionalFormatting sqref="A2:BS50000">
    <cfRule type="expression" dxfId="3" priority="1">
      <formula>IF($A2="",0,MOD(ROW(),2))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isler">
                <anchor moveWithCells="1" sizeWithCells="1">
                  <from>
                    <xdr:col>71</xdr:col>
                    <xdr:colOff>361950</xdr:colOff>
                    <xdr:row>1</xdr:row>
                    <xdr:rowOff>165100</xdr:rowOff>
                  </from>
                  <to>
                    <xdr:col>73</xdr:col>
                    <xdr:colOff>50800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S41"/>
  <sheetViews>
    <sheetView showGridLines="0" workbookViewId="0">
      <pane ySplit="1" topLeftCell="A17" activePane="bottomLeft" state="frozen"/>
      <selection pane="bottomLeft" activeCell="AR42" sqref="AR42"/>
    </sheetView>
  </sheetViews>
  <sheetFormatPr defaultRowHeight="14.5" outlineLevelCol="1" x14ac:dyDescent="0.35"/>
  <cols>
    <col min="3" max="5" width="9.1796875" hidden="1" customWidth="1" outlineLevel="1"/>
    <col min="6" max="6" width="14.81640625" hidden="1" customWidth="1" outlineLevel="1"/>
    <col min="7" max="15" width="9.1796875" hidden="1" customWidth="1" outlineLevel="1"/>
    <col min="16" max="16" width="14.81640625" hidden="1" customWidth="1" outlineLevel="1" collapsed="1"/>
    <col min="17" max="17" width="9.1796875" hidden="1" customWidth="1" outlineLevel="1"/>
    <col min="18" max="18" width="9.1796875" collapsed="1"/>
    <col min="19" max="24" width="9.1796875" hidden="1" customWidth="1" outlineLevel="1"/>
    <col min="25" max="25" width="9.1796875" hidden="1" customWidth="1" outlineLevel="1" collapsed="1"/>
    <col min="26" max="34" width="9.1796875" hidden="1" customWidth="1" outlineLevel="1"/>
    <col min="35" max="35" width="9.1796875" collapsed="1"/>
    <col min="44" max="44" width="16.36328125" customWidth="1"/>
    <col min="46" max="50" width="9.1796875" hidden="1" customWidth="1" outlineLevel="1"/>
    <col min="51" max="51" width="9.1796875" collapsed="1"/>
    <col min="52" max="68" width="9.1796875" hidden="1" customWidth="1" outlineLevel="1"/>
    <col min="69" max="69" width="13.26953125" bestFit="1" customWidth="1" collapsed="1"/>
    <col min="70" max="70" width="14.54296875" bestFit="1" customWidth="1"/>
    <col min="71" max="71" width="22.81640625" bestFit="1" customWidth="1"/>
  </cols>
  <sheetData>
    <row r="1" spans="1:71" x14ac:dyDescent="0.35">
      <c r="A1" t="s">
        <v>100</v>
      </c>
      <c r="B1" s="15" t="s">
        <v>101</v>
      </c>
      <c r="C1" s="15" t="s">
        <v>102</v>
      </c>
      <c r="D1" s="15" t="s">
        <v>103</v>
      </c>
      <c r="E1" s="15" t="s">
        <v>104</v>
      </c>
      <c r="F1" s="15" t="s">
        <v>105</v>
      </c>
      <c r="G1" s="15" t="s">
        <v>106</v>
      </c>
      <c r="H1" s="15" t="s">
        <v>107</v>
      </c>
      <c r="I1" s="15" t="s">
        <v>108</v>
      </c>
      <c r="J1" s="15" t="s">
        <v>109</v>
      </c>
      <c r="K1" s="15" t="s">
        <v>110</v>
      </c>
      <c r="L1" s="15" t="s">
        <v>111</v>
      </c>
      <c r="M1" s="15" t="s">
        <v>112</v>
      </c>
      <c r="N1" s="15" t="s">
        <v>113</v>
      </c>
      <c r="O1" s="15" t="s">
        <v>114</v>
      </c>
      <c r="P1" s="15" t="s">
        <v>115</v>
      </c>
      <c r="Q1" s="15" t="s">
        <v>116</v>
      </c>
      <c r="R1" s="15" t="s">
        <v>117</v>
      </c>
      <c r="S1" s="15" t="s">
        <v>118</v>
      </c>
      <c r="T1" s="15" t="s">
        <v>119</v>
      </c>
      <c r="U1" s="15" t="s">
        <v>120</v>
      </c>
      <c r="V1" s="15" t="s">
        <v>121</v>
      </c>
      <c r="W1" s="15" t="s">
        <v>122</v>
      </c>
      <c r="X1" s="15" t="s">
        <v>123</v>
      </c>
      <c r="Y1" s="15" t="s">
        <v>124</v>
      </c>
      <c r="Z1" s="15" t="s">
        <v>125</v>
      </c>
      <c r="AA1" s="15" t="s">
        <v>126</v>
      </c>
      <c r="AB1" s="15" t="s">
        <v>127</v>
      </c>
      <c r="AC1" s="15" t="s">
        <v>128</v>
      </c>
      <c r="AD1" s="15" t="s">
        <v>129</v>
      </c>
      <c r="AE1" s="15" t="s">
        <v>130</v>
      </c>
      <c r="AF1" s="15" t="s">
        <v>131</v>
      </c>
      <c r="AG1" s="15" t="s">
        <v>132</v>
      </c>
      <c r="AH1" s="15" t="s">
        <v>133</v>
      </c>
      <c r="AI1" s="15" t="s">
        <v>134</v>
      </c>
      <c r="AJ1" s="15" t="s">
        <v>135</v>
      </c>
      <c r="AK1" s="15" t="s">
        <v>136</v>
      </c>
      <c r="AL1" s="15" t="s">
        <v>137</v>
      </c>
      <c r="AM1" s="15" t="s">
        <v>138</v>
      </c>
      <c r="AN1" s="15" t="s">
        <v>139</v>
      </c>
      <c r="AO1" s="15" t="s">
        <v>140</v>
      </c>
      <c r="AP1" s="16" t="s">
        <v>141</v>
      </c>
      <c r="AQ1" s="15" t="s">
        <v>142</v>
      </c>
      <c r="AR1" s="15" t="s">
        <v>143</v>
      </c>
      <c r="AS1" s="15" t="s">
        <v>144</v>
      </c>
      <c r="AT1" s="15" t="s">
        <v>145</v>
      </c>
      <c r="AU1" s="15" t="s">
        <v>146</v>
      </c>
      <c r="AV1" s="15" t="s">
        <v>147</v>
      </c>
      <c r="AW1" s="15" t="s">
        <v>148</v>
      </c>
      <c r="AX1" s="15" t="s">
        <v>149</v>
      </c>
      <c r="AY1" s="16" t="s">
        <v>150</v>
      </c>
      <c r="AZ1" s="15" t="s">
        <v>151</v>
      </c>
      <c r="BA1" s="15" t="s">
        <v>152</v>
      </c>
      <c r="BB1" s="15" t="s">
        <v>153</v>
      </c>
      <c r="BC1" s="15" t="s">
        <v>154</v>
      </c>
      <c r="BD1" s="15" t="s">
        <v>155</v>
      </c>
      <c r="BE1" s="15" t="s">
        <v>156</v>
      </c>
      <c r="BF1" s="15" t="s">
        <v>157</v>
      </c>
      <c r="BG1" s="15" t="s">
        <v>158</v>
      </c>
      <c r="BH1" s="15" t="s">
        <v>159</v>
      </c>
      <c r="BI1" s="15" t="s">
        <v>160</v>
      </c>
      <c r="BJ1" s="15" t="s">
        <v>161</v>
      </c>
      <c r="BK1" s="15" t="s">
        <v>162</v>
      </c>
      <c r="BL1" s="15" t="s">
        <v>163</v>
      </c>
      <c r="BM1" s="15" t="s">
        <v>164</v>
      </c>
      <c r="BN1" s="15" t="s">
        <v>165</v>
      </c>
      <c r="BO1" s="15" t="s">
        <v>166</v>
      </c>
      <c r="BP1" s="15" t="s">
        <v>167</v>
      </c>
      <c r="BQ1" s="21" t="s">
        <v>100</v>
      </c>
      <c r="BR1" s="21" t="s">
        <v>279</v>
      </c>
      <c r="BS1" s="21" t="s">
        <v>101</v>
      </c>
    </row>
    <row r="2" spans="1:71" x14ac:dyDescent="0.35">
      <c r="A2" t="s">
        <v>168</v>
      </c>
      <c r="B2" t="s">
        <v>169</v>
      </c>
      <c r="C2" t="s">
        <v>170</v>
      </c>
      <c r="E2" t="s">
        <v>171</v>
      </c>
      <c r="F2" s="1">
        <v>44047.259027777778</v>
      </c>
      <c r="G2" t="s">
        <v>172</v>
      </c>
      <c r="H2" t="s">
        <v>173</v>
      </c>
      <c r="I2">
        <v>0</v>
      </c>
      <c r="J2">
        <v>0</v>
      </c>
      <c r="K2">
        <v>0</v>
      </c>
      <c r="L2">
        <v>0</v>
      </c>
      <c r="N2">
        <v>0</v>
      </c>
      <c r="O2" t="s">
        <v>174</v>
      </c>
      <c r="P2" s="1">
        <v>44036.768055555556</v>
      </c>
      <c r="Q2">
        <v>2</v>
      </c>
      <c r="R2" t="s">
        <v>175</v>
      </c>
      <c r="S2">
        <v>0</v>
      </c>
      <c r="U2">
        <v>4362</v>
      </c>
      <c r="V2" t="b">
        <v>1</v>
      </c>
      <c r="W2" t="b">
        <v>0</v>
      </c>
      <c r="X2" t="s">
        <v>171</v>
      </c>
      <c r="Y2" t="s">
        <v>176</v>
      </c>
      <c r="Z2" t="s">
        <v>177</v>
      </c>
      <c r="AA2" t="s">
        <v>178</v>
      </c>
      <c r="AB2" t="s">
        <v>179</v>
      </c>
      <c r="AC2" t="s">
        <v>180</v>
      </c>
      <c r="AD2" t="s">
        <v>181</v>
      </c>
      <c r="AE2" t="s">
        <v>182</v>
      </c>
      <c r="AF2" t="s">
        <v>71</v>
      </c>
      <c r="AG2" t="s">
        <v>183</v>
      </c>
      <c r="AH2" t="s">
        <v>184</v>
      </c>
      <c r="AI2" t="s">
        <v>176</v>
      </c>
      <c r="AJ2" t="s">
        <v>177</v>
      </c>
      <c r="AK2" t="s">
        <v>178</v>
      </c>
      <c r="AL2" t="s">
        <v>179</v>
      </c>
      <c r="AM2" t="s">
        <v>180</v>
      </c>
      <c r="AN2" t="s">
        <v>181</v>
      </c>
      <c r="AO2" t="s">
        <v>182</v>
      </c>
      <c r="AP2" t="s">
        <v>71</v>
      </c>
      <c r="AQ2" t="s">
        <v>183</v>
      </c>
      <c r="AR2" t="s">
        <v>184</v>
      </c>
      <c r="AX2">
        <v>0</v>
      </c>
      <c r="AY2" t="s">
        <v>185</v>
      </c>
      <c r="AZ2" s="2">
        <v>2620000000000</v>
      </c>
      <c r="BB2" t="s">
        <v>186</v>
      </c>
      <c r="BC2" t="s">
        <v>187</v>
      </c>
      <c r="BD2">
        <v>0</v>
      </c>
      <c r="BQ2" t="str">
        <f>VLOOKUP($AY2,States!$B$4:$AZ$2000,MATCH(AP2,States!$B$3:$AZ$3,FALSE),FALSE)</f>
        <v>Greg Ambrogi</v>
      </c>
      <c r="BR2" t="str">
        <f>VLOOKUP($BQ2,'Rep Contact info'!$B$3:$D$400,MATCH(BR$1,'Rep Contact info'!$B$2:$D$2,FALSE),FALSE)</f>
        <v>(610) 420-3842</v>
      </c>
      <c r="BS2" t="str">
        <f>VLOOKUP($BQ2,'Rep Contact info'!$B$3:$D$400,MATCH(BS$1,'Rep Contact info'!$B$2:$D$2,FALSE),FALSE)</f>
        <v>grambrog24@gmail.com</v>
      </c>
    </row>
    <row r="3" spans="1:71" x14ac:dyDescent="0.35">
      <c r="A3" t="s">
        <v>168</v>
      </c>
      <c r="B3" t="s">
        <v>169</v>
      </c>
      <c r="P3" s="1">
        <v>44036.768055555556</v>
      </c>
      <c r="Q3">
        <v>1</v>
      </c>
      <c r="R3" t="s">
        <v>188</v>
      </c>
      <c r="S3">
        <v>0</v>
      </c>
      <c r="U3">
        <v>100237</v>
      </c>
      <c r="V3" t="b">
        <v>1</v>
      </c>
      <c r="W3" t="b">
        <v>0</v>
      </c>
      <c r="X3" t="s">
        <v>171</v>
      </c>
      <c r="Y3" t="s">
        <v>176</v>
      </c>
      <c r="Z3" t="s">
        <v>177</v>
      </c>
      <c r="AA3" t="s">
        <v>178</v>
      </c>
      <c r="AB3" t="s">
        <v>179</v>
      </c>
      <c r="AC3" t="s">
        <v>180</v>
      </c>
      <c r="AD3" t="s">
        <v>181</v>
      </c>
      <c r="AE3" t="s">
        <v>182</v>
      </c>
      <c r="AF3" t="s">
        <v>71</v>
      </c>
      <c r="AG3" t="s">
        <v>183</v>
      </c>
      <c r="AH3" t="s">
        <v>184</v>
      </c>
      <c r="AI3" t="s">
        <v>176</v>
      </c>
      <c r="AJ3" t="s">
        <v>177</v>
      </c>
      <c r="AK3" t="s">
        <v>178</v>
      </c>
      <c r="AL3" t="s">
        <v>179</v>
      </c>
      <c r="AM3" t="s">
        <v>180</v>
      </c>
      <c r="AN3" t="s">
        <v>181</v>
      </c>
      <c r="AO3" t="s">
        <v>182</v>
      </c>
      <c r="AP3" t="s">
        <v>71</v>
      </c>
      <c r="AQ3" t="s">
        <v>183</v>
      </c>
      <c r="AR3" t="s">
        <v>184</v>
      </c>
      <c r="AY3" t="s">
        <v>189</v>
      </c>
      <c r="BD3">
        <v>0</v>
      </c>
      <c r="BQ3" t="str">
        <f>VLOOKUP($AY3,States!$B$4:$AZ$2000,MATCH(AP3,States!$B$3:$AZ$3,FALSE),FALSE)</f>
        <v>Nick Cisler</v>
      </c>
      <c r="BR3" t="str">
        <f>VLOOKUP($BQ3,'Rep Contact info'!$B$3:$D$400,MATCH(BR$1,'Rep Contact info'!$B$2:$D$2,FALSE),FALSE)</f>
        <v>(215) 435-4353</v>
      </c>
      <c r="BS3" t="str">
        <f>VLOOKUP($BQ3,'Rep Contact info'!$B$3:$D$400,MATCH(BS$1,'Rep Contact info'!$B$2:$D$2,FALSE),FALSE)</f>
        <v>ncisler@gmail.com</v>
      </c>
    </row>
    <row r="4" spans="1:71" x14ac:dyDescent="0.35">
      <c r="A4" t="s">
        <v>168</v>
      </c>
      <c r="B4" t="s">
        <v>169</v>
      </c>
      <c r="P4" s="1">
        <v>44036.768055555556</v>
      </c>
      <c r="Q4">
        <v>1</v>
      </c>
      <c r="R4" t="s">
        <v>190</v>
      </c>
      <c r="S4">
        <v>0</v>
      </c>
      <c r="U4">
        <v>100275</v>
      </c>
      <c r="V4" t="b">
        <v>1</v>
      </c>
      <c r="W4" t="b">
        <v>0</v>
      </c>
      <c r="X4" t="s">
        <v>171</v>
      </c>
      <c r="Y4" t="s">
        <v>176</v>
      </c>
      <c r="Z4" t="s">
        <v>177</v>
      </c>
      <c r="AA4" t="s">
        <v>178</v>
      </c>
      <c r="AB4" t="s">
        <v>179</v>
      </c>
      <c r="AC4" t="s">
        <v>180</v>
      </c>
      <c r="AD4" t="s">
        <v>181</v>
      </c>
      <c r="AE4" t="s">
        <v>182</v>
      </c>
      <c r="AF4" t="s">
        <v>71</v>
      </c>
      <c r="AG4" t="s">
        <v>183</v>
      </c>
      <c r="AH4" t="s">
        <v>184</v>
      </c>
      <c r="AI4" t="s">
        <v>176</v>
      </c>
      <c r="AJ4" t="s">
        <v>177</v>
      </c>
      <c r="AK4" t="s">
        <v>178</v>
      </c>
      <c r="AL4" t="s">
        <v>179</v>
      </c>
      <c r="AM4" t="s">
        <v>180</v>
      </c>
      <c r="AN4" t="s">
        <v>181</v>
      </c>
      <c r="AO4" t="s">
        <v>182</v>
      </c>
      <c r="AP4" t="s">
        <v>71</v>
      </c>
      <c r="AQ4" t="s">
        <v>183</v>
      </c>
      <c r="AR4" t="s">
        <v>184</v>
      </c>
      <c r="AY4" t="s">
        <v>189</v>
      </c>
      <c r="BD4">
        <v>0</v>
      </c>
      <c r="BQ4" t="str">
        <f>VLOOKUP($AY4,States!$B$4:$AZ$2000,MATCH(AP4,States!$B$3:$AZ$3,FALSE),FALSE)</f>
        <v>Nick Cisler</v>
      </c>
      <c r="BR4" t="str">
        <f>VLOOKUP($BQ4,'Rep Contact info'!$B$3:$D$400,MATCH(BR$1,'Rep Contact info'!$B$2:$D$2,FALSE),FALSE)</f>
        <v>(215) 435-4353</v>
      </c>
      <c r="BS4" t="str">
        <f>VLOOKUP($BQ4,'Rep Contact info'!$B$3:$D$400,MATCH(BS$1,'Rep Contact info'!$B$2:$D$2,FALSE),FALSE)</f>
        <v>ncisler@gmail.com</v>
      </c>
    </row>
    <row r="5" spans="1:71" x14ac:dyDescent="0.35">
      <c r="A5" t="s">
        <v>168</v>
      </c>
      <c r="B5" t="s">
        <v>169</v>
      </c>
      <c r="P5" s="1">
        <v>44036.768055555556</v>
      </c>
      <c r="Q5">
        <v>1</v>
      </c>
      <c r="R5" t="s">
        <v>191</v>
      </c>
      <c r="S5">
        <v>0</v>
      </c>
      <c r="U5">
        <v>100189</v>
      </c>
      <c r="V5" t="b">
        <v>1</v>
      </c>
      <c r="W5" t="b">
        <v>0</v>
      </c>
      <c r="X5" t="s">
        <v>171</v>
      </c>
      <c r="Y5" t="s">
        <v>176</v>
      </c>
      <c r="Z5" t="s">
        <v>177</v>
      </c>
      <c r="AA5" t="s">
        <v>178</v>
      </c>
      <c r="AB5" t="s">
        <v>179</v>
      </c>
      <c r="AC5" t="s">
        <v>180</v>
      </c>
      <c r="AD5" t="s">
        <v>181</v>
      </c>
      <c r="AE5" t="s">
        <v>182</v>
      </c>
      <c r="AF5" t="s">
        <v>71</v>
      </c>
      <c r="AG5" t="s">
        <v>183</v>
      </c>
      <c r="AH5" t="s">
        <v>184</v>
      </c>
      <c r="AI5" t="s">
        <v>176</v>
      </c>
      <c r="AJ5" t="s">
        <v>177</v>
      </c>
      <c r="AK5" t="s">
        <v>178</v>
      </c>
      <c r="AL5" t="s">
        <v>179</v>
      </c>
      <c r="AM5" t="s">
        <v>180</v>
      </c>
      <c r="AN5" t="s">
        <v>181</v>
      </c>
      <c r="AO5" t="s">
        <v>182</v>
      </c>
      <c r="AP5" t="s">
        <v>71</v>
      </c>
      <c r="AQ5" t="s">
        <v>183</v>
      </c>
      <c r="AR5" t="s">
        <v>184</v>
      </c>
      <c r="AY5" t="s">
        <v>189</v>
      </c>
      <c r="BD5">
        <v>0</v>
      </c>
      <c r="BQ5" t="str">
        <f>VLOOKUP($AY5,States!$B$4:$AZ$2000,MATCH(AP5,States!$B$3:$AZ$3,FALSE),FALSE)</f>
        <v>Nick Cisler</v>
      </c>
      <c r="BR5" t="str">
        <f>VLOOKUP($BQ5,'Rep Contact info'!$B$3:$D$400,MATCH(BR$1,'Rep Contact info'!$B$2:$D$2,FALSE),FALSE)</f>
        <v>(215) 435-4353</v>
      </c>
      <c r="BS5" t="str">
        <f>VLOOKUP($BQ5,'Rep Contact info'!$B$3:$D$400,MATCH(BS$1,'Rep Contact info'!$B$2:$D$2,FALSE),FALSE)</f>
        <v>ncisler@gmail.com</v>
      </c>
    </row>
    <row r="6" spans="1:71" x14ac:dyDescent="0.35">
      <c r="A6" t="s">
        <v>168</v>
      </c>
      <c r="B6" t="s">
        <v>169</v>
      </c>
      <c r="P6" s="1">
        <v>44036.768055555556</v>
      </c>
      <c r="Q6">
        <v>1</v>
      </c>
      <c r="R6" t="s">
        <v>192</v>
      </c>
      <c r="S6">
        <v>0</v>
      </c>
      <c r="U6">
        <v>4367</v>
      </c>
      <c r="V6" t="b">
        <v>1</v>
      </c>
      <c r="W6" t="b">
        <v>1</v>
      </c>
      <c r="X6" t="s">
        <v>171</v>
      </c>
      <c r="Y6" t="s">
        <v>176</v>
      </c>
      <c r="Z6" t="s">
        <v>177</v>
      </c>
      <c r="AA6" t="s">
        <v>178</v>
      </c>
      <c r="AB6" t="s">
        <v>179</v>
      </c>
      <c r="AC6" t="s">
        <v>180</v>
      </c>
      <c r="AD6" t="s">
        <v>181</v>
      </c>
      <c r="AE6" t="s">
        <v>182</v>
      </c>
      <c r="AF6" t="s">
        <v>71</v>
      </c>
      <c r="AG6" t="s">
        <v>183</v>
      </c>
      <c r="AH6" t="s">
        <v>184</v>
      </c>
      <c r="AI6" t="s">
        <v>176</v>
      </c>
      <c r="AJ6" t="s">
        <v>177</v>
      </c>
      <c r="AK6" t="s">
        <v>178</v>
      </c>
      <c r="AL6" t="s">
        <v>179</v>
      </c>
      <c r="AM6" t="s">
        <v>180</v>
      </c>
      <c r="AN6" t="s">
        <v>181</v>
      </c>
      <c r="AO6" t="s">
        <v>182</v>
      </c>
      <c r="AP6" t="s">
        <v>71</v>
      </c>
      <c r="AQ6" t="s">
        <v>183</v>
      </c>
      <c r="AR6" t="s">
        <v>184</v>
      </c>
      <c r="AY6" t="s">
        <v>185</v>
      </c>
      <c r="BD6">
        <v>0</v>
      </c>
      <c r="BQ6" t="str">
        <f>VLOOKUP($AY6,States!$B$4:$AZ$2000,MATCH(AP6,States!$B$3:$AZ$3,FALSE),FALSE)</f>
        <v>Greg Ambrogi</v>
      </c>
      <c r="BR6" t="str">
        <f>VLOOKUP($BQ6,'Rep Contact info'!$B$3:$D$400,MATCH(BR$1,'Rep Contact info'!$B$2:$D$2,FALSE),FALSE)</f>
        <v>(610) 420-3842</v>
      </c>
      <c r="BS6" t="str">
        <f>VLOOKUP($BQ6,'Rep Contact info'!$B$3:$D$400,MATCH(BS$1,'Rep Contact info'!$B$2:$D$2,FALSE),FALSE)</f>
        <v>grambrog24@gmail.com</v>
      </c>
    </row>
    <row r="7" spans="1:71" x14ac:dyDescent="0.35">
      <c r="A7" t="s">
        <v>168</v>
      </c>
      <c r="B7" t="s">
        <v>169</v>
      </c>
      <c r="P7" s="1">
        <v>44036.768055555556</v>
      </c>
      <c r="Q7">
        <v>1</v>
      </c>
      <c r="R7" t="s">
        <v>193</v>
      </c>
      <c r="S7">
        <v>0</v>
      </c>
      <c r="U7">
        <v>500415</v>
      </c>
      <c r="V7" t="b">
        <v>1</v>
      </c>
      <c r="W7" t="b">
        <v>0</v>
      </c>
      <c r="X7" t="s">
        <v>171</v>
      </c>
      <c r="Y7" t="s">
        <v>176</v>
      </c>
      <c r="Z7" t="s">
        <v>177</v>
      </c>
      <c r="AA7" t="s">
        <v>178</v>
      </c>
      <c r="AB7" t="s">
        <v>179</v>
      </c>
      <c r="AC7" t="s">
        <v>180</v>
      </c>
      <c r="AD7" t="s">
        <v>181</v>
      </c>
      <c r="AE7" t="s">
        <v>182</v>
      </c>
      <c r="AF7" t="s">
        <v>71</v>
      </c>
      <c r="AG7" t="s">
        <v>183</v>
      </c>
      <c r="AH7" t="s">
        <v>184</v>
      </c>
      <c r="AI7" t="s">
        <v>176</v>
      </c>
      <c r="AJ7" t="s">
        <v>177</v>
      </c>
      <c r="AK7" t="s">
        <v>178</v>
      </c>
      <c r="AL7" t="s">
        <v>179</v>
      </c>
      <c r="AM7" t="s">
        <v>180</v>
      </c>
      <c r="AN7" t="s">
        <v>181</v>
      </c>
      <c r="AO7" t="s">
        <v>182</v>
      </c>
      <c r="AP7" t="s">
        <v>71</v>
      </c>
      <c r="AQ7" t="s">
        <v>183</v>
      </c>
      <c r="AR7" t="s">
        <v>184</v>
      </c>
      <c r="AY7" t="s">
        <v>194</v>
      </c>
      <c r="BD7">
        <v>0</v>
      </c>
      <c r="BQ7" t="str">
        <f>VLOOKUP($AY7,States!$B$4:$AZ$2000,MATCH(AP7,States!$B$3:$AZ$3,FALSE),FALSE)</f>
        <v>Nick Cisler</v>
      </c>
      <c r="BR7" t="str">
        <f>VLOOKUP($BQ7,'Rep Contact info'!$B$3:$D$400,MATCH(BR$1,'Rep Contact info'!$B$2:$D$2,FALSE),FALSE)</f>
        <v>(215) 435-4353</v>
      </c>
      <c r="BS7" t="str">
        <f>VLOOKUP($BQ7,'Rep Contact info'!$B$3:$D$400,MATCH(BS$1,'Rep Contact info'!$B$2:$D$2,FALSE),FALSE)</f>
        <v>ncisler@gmail.com</v>
      </c>
    </row>
    <row r="8" spans="1:71" x14ac:dyDescent="0.35">
      <c r="A8" t="s">
        <v>168</v>
      </c>
      <c r="B8" t="s">
        <v>169</v>
      </c>
      <c r="P8" s="1">
        <v>44036.768055555556</v>
      </c>
      <c r="Q8">
        <v>1</v>
      </c>
      <c r="R8" t="s">
        <v>195</v>
      </c>
      <c r="S8">
        <v>0</v>
      </c>
      <c r="U8">
        <v>500453</v>
      </c>
      <c r="V8" t="b">
        <v>1</v>
      </c>
      <c r="W8" t="b">
        <v>0</v>
      </c>
      <c r="X8" t="s">
        <v>171</v>
      </c>
      <c r="Y8" t="s">
        <v>176</v>
      </c>
      <c r="Z8" t="s">
        <v>177</v>
      </c>
      <c r="AA8" t="s">
        <v>178</v>
      </c>
      <c r="AB8" t="s">
        <v>179</v>
      </c>
      <c r="AC8" t="s">
        <v>180</v>
      </c>
      <c r="AD8" t="s">
        <v>181</v>
      </c>
      <c r="AE8" t="s">
        <v>182</v>
      </c>
      <c r="AF8" t="s">
        <v>71</v>
      </c>
      <c r="AG8" t="s">
        <v>183</v>
      </c>
      <c r="AH8" t="s">
        <v>184</v>
      </c>
      <c r="AI8" t="s">
        <v>176</v>
      </c>
      <c r="AJ8" t="s">
        <v>177</v>
      </c>
      <c r="AK8" t="s">
        <v>178</v>
      </c>
      <c r="AL8" t="s">
        <v>179</v>
      </c>
      <c r="AM8" t="s">
        <v>180</v>
      </c>
      <c r="AN8" t="s">
        <v>181</v>
      </c>
      <c r="AO8" t="s">
        <v>182</v>
      </c>
      <c r="AP8" t="s">
        <v>71</v>
      </c>
      <c r="AQ8" t="s">
        <v>183</v>
      </c>
      <c r="AR8" t="s">
        <v>184</v>
      </c>
      <c r="AY8" t="s">
        <v>194</v>
      </c>
      <c r="BD8">
        <v>0</v>
      </c>
      <c r="BQ8" t="str">
        <f>VLOOKUP($AY8,States!$B$4:$AZ$2000,MATCH(AP8,States!$B$3:$AZ$3,FALSE),FALSE)</f>
        <v>Nick Cisler</v>
      </c>
      <c r="BR8" t="str">
        <f>VLOOKUP($BQ8,'Rep Contact info'!$B$3:$D$400,MATCH(BR$1,'Rep Contact info'!$B$2:$D$2,FALSE),FALSE)</f>
        <v>(215) 435-4353</v>
      </c>
      <c r="BS8" t="str">
        <f>VLOOKUP($BQ8,'Rep Contact info'!$B$3:$D$400,MATCH(BS$1,'Rep Contact info'!$B$2:$D$2,FALSE),FALSE)</f>
        <v>ncisler@gmail.com</v>
      </c>
    </row>
    <row r="9" spans="1:71" x14ac:dyDescent="0.35">
      <c r="A9" t="s">
        <v>168</v>
      </c>
      <c r="B9" t="s">
        <v>169</v>
      </c>
      <c r="P9" s="1">
        <v>44036.768055555556</v>
      </c>
      <c r="Q9">
        <v>1</v>
      </c>
      <c r="R9" t="s">
        <v>196</v>
      </c>
      <c r="S9">
        <v>0</v>
      </c>
      <c r="V9" t="b">
        <v>1</v>
      </c>
      <c r="W9" t="b">
        <v>0</v>
      </c>
      <c r="X9" t="s">
        <v>171</v>
      </c>
      <c r="Y9" t="s">
        <v>176</v>
      </c>
      <c r="Z9" t="s">
        <v>177</v>
      </c>
      <c r="AA9" t="s">
        <v>178</v>
      </c>
      <c r="AB9" t="s">
        <v>179</v>
      </c>
      <c r="AC9" t="s">
        <v>180</v>
      </c>
      <c r="AD9" t="s">
        <v>181</v>
      </c>
      <c r="AE9" t="s">
        <v>182</v>
      </c>
      <c r="AF9" t="s">
        <v>71</v>
      </c>
      <c r="AG9" t="s">
        <v>183</v>
      </c>
      <c r="AH9" t="s">
        <v>184</v>
      </c>
      <c r="AI9" t="s">
        <v>176</v>
      </c>
      <c r="AJ9" t="s">
        <v>177</v>
      </c>
      <c r="AK9" t="s">
        <v>178</v>
      </c>
      <c r="AL9" t="s">
        <v>179</v>
      </c>
      <c r="AM9" t="s">
        <v>180</v>
      </c>
      <c r="AN9" t="s">
        <v>181</v>
      </c>
      <c r="AO9" t="s">
        <v>182</v>
      </c>
      <c r="AP9" t="s">
        <v>71</v>
      </c>
      <c r="AQ9" t="s">
        <v>183</v>
      </c>
      <c r="AR9" t="s">
        <v>184</v>
      </c>
      <c r="AY9" t="s">
        <v>194</v>
      </c>
      <c r="BD9">
        <v>0</v>
      </c>
      <c r="BQ9" t="str">
        <f>VLOOKUP($AY9,States!$B$4:$AZ$2000,MATCH(AP9,States!$B$3:$AZ$3,FALSE),FALSE)</f>
        <v>Nick Cisler</v>
      </c>
      <c r="BR9" t="str">
        <f>VLOOKUP($BQ9,'Rep Contact info'!$B$3:$D$400,MATCH(BR$1,'Rep Contact info'!$B$2:$D$2,FALSE),FALSE)</f>
        <v>(215) 435-4353</v>
      </c>
      <c r="BS9" t="str">
        <f>VLOOKUP($BQ9,'Rep Contact info'!$B$3:$D$400,MATCH(BS$1,'Rep Contact info'!$B$2:$D$2,FALSE),FALSE)</f>
        <v>ncisler@gmail.com</v>
      </c>
    </row>
    <row r="10" spans="1:71" x14ac:dyDescent="0.35">
      <c r="A10" t="s">
        <v>168</v>
      </c>
      <c r="B10" t="s">
        <v>169</v>
      </c>
      <c r="P10" s="1">
        <v>44036.768055555556</v>
      </c>
      <c r="Q10">
        <v>1</v>
      </c>
      <c r="R10" t="s">
        <v>197</v>
      </c>
      <c r="S10">
        <v>0</v>
      </c>
      <c r="U10">
        <v>500414</v>
      </c>
      <c r="V10" t="b">
        <v>1</v>
      </c>
      <c r="W10" t="b">
        <v>0</v>
      </c>
      <c r="X10" t="s">
        <v>171</v>
      </c>
      <c r="Y10" t="s">
        <v>176</v>
      </c>
      <c r="Z10" t="s">
        <v>177</v>
      </c>
      <c r="AA10" t="s">
        <v>178</v>
      </c>
      <c r="AB10" t="s">
        <v>179</v>
      </c>
      <c r="AC10" t="s">
        <v>180</v>
      </c>
      <c r="AD10" t="s">
        <v>181</v>
      </c>
      <c r="AE10" t="s">
        <v>182</v>
      </c>
      <c r="AF10" t="s">
        <v>71</v>
      </c>
      <c r="AG10" t="s">
        <v>183</v>
      </c>
      <c r="AH10" t="s">
        <v>184</v>
      </c>
      <c r="AI10" t="s">
        <v>176</v>
      </c>
      <c r="AJ10" t="s">
        <v>177</v>
      </c>
      <c r="AK10" t="s">
        <v>178</v>
      </c>
      <c r="AL10" t="s">
        <v>179</v>
      </c>
      <c r="AM10" t="s">
        <v>180</v>
      </c>
      <c r="AN10" t="s">
        <v>181</v>
      </c>
      <c r="AO10" t="s">
        <v>182</v>
      </c>
      <c r="AP10" t="s">
        <v>71</v>
      </c>
      <c r="AQ10" t="s">
        <v>183</v>
      </c>
      <c r="AR10" t="s">
        <v>184</v>
      </c>
      <c r="AY10" t="s">
        <v>194</v>
      </c>
      <c r="BD10">
        <v>0</v>
      </c>
      <c r="BQ10" t="str">
        <f>VLOOKUP($AY10,States!$B$4:$AZ$2000,MATCH(AP10,States!$B$3:$AZ$3,FALSE),FALSE)</f>
        <v>Nick Cisler</v>
      </c>
      <c r="BR10" t="str">
        <f>VLOOKUP($BQ10,'Rep Contact info'!$B$3:$D$400,MATCH(BR$1,'Rep Contact info'!$B$2:$D$2,FALSE),FALSE)</f>
        <v>(215) 435-4353</v>
      </c>
      <c r="BS10" t="str">
        <f>VLOOKUP($BQ10,'Rep Contact info'!$B$3:$D$400,MATCH(BS$1,'Rep Contact info'!$B$2:$D$2,FALSE),FALSE)</f>
        <v>ncisler@gmail.com</v>
      </c>
    </row>
    <row r="11" spans="1:71" x14ac:dyDescent="0.35">
      <c r="A11" t="s">
        <v>168</v>
      </c>
      <c r="B11" t="s">
        <v>169</v>
      </c>
      <c r="P11" s="1">
        <v>44036.768055555556</v>
      </c>
      <c r="Q11">
        <v>1</v>
      </c>
      <c r="R11" t="s">
        <v>198</v>
      </c>
      <c r="S11">
        <v>0</v>
      </c>
      <c r="U11">
        <v>100217</v>
      </c>
      <c r="V11" t="b">
        <v>1</v>
      </c>
      <c r="W11" t="b">
        <v>0</v>
      </c>
      <c r="X11" t="s">
        <v>171</v>
      </c>
      <c r="Y11" t="s">
        <v>176</v>
      </c>
      <c r="Z11" t="s">
        <v>177</v>
      </c>
      <c r="AA11" t="s">
        <v>178</v>
      </c>
      <c r="AB11" t="s">
        <v>179</v>
      </c>
      <c r="AC11" t="s">
        <v>180</v>
      </c>
      <c r="AD11" t="s">
        <v>181</v>
      </c>
      <c r="AE11" t="s">
        <v>182</v>
      </c>
      <c r="AF11" t="s">
        <v>71</v>
      </c>
      <c r="AG11" t="s">
        <v>183</v>
      </c>
      <c r="AH11" t="s">
        <v>184</v>
      </c>
      <c r="AI11" t="s">
        <v>176</v>
      </c>
      <c r="AJ11" t="s">
        <v>177</v>
      </c>
      <c r="AK11" t="s">
        <v>178</v>
      </c>
      <c r="AL11" t="s">
        <v>179</v>
      </c>
      <c r="AM11" t="s">
        <v>180</v>
      </c>
      <c r="AN11" t="s">
        <v>181</v>
      </c>
      <c r="AO11" t="s">
        <v>182</v>
      </c>
      <c r="AP11" t="s">
        <v>71</v>
      </c>
      <c r="AQ11" t="s">
        <v>183</v>
      </c>
      <c r="AR11" t="s">
        <v>184</v>
      </c>
      <c r="AY11" t="s">
        <v>189</v>
      </c>
      <c r="BD11">
        <v>0</v>
      </c>
      <c r="BQ11" t="str">
        <f>VLOOKUP($AY11,States!$B$4:$AZ$2000,MATCH(AP11,States!$B$3:$AZ$3,FALSE),FALSE)</f>
        <v>Nick Cisler</v>
      </c>
      <c r="BR11" t="str">
        <f>VLOOKUP($BQ11,'Rep Contact info'!$B$3:$D$400,MATCH(BR$1,'Rep Contact info'!$B$2:$D$2,FALSE),FALSE)</f>
        <v>(215) 435-4353</v>
      </c>
      <c r="BS11" t="str">
        <f>VLOOKUP($BQ11,'Rep Contact info'!$B$3:$D$400,MATCH(BS$1,'Rep Contact info'!$B$2:$D$2,FALSE),FALSE)</f>
        <v>ncisler@gmail.com</v>
      </c>
    </row>
    <row r="12" spans="1:71" x14ac:dyDescent="0.35">
      <c r="A12" t="s">
        <v>168</v>
      </c>
      <c r="B12" t="s">
        <v>169</v>
      </c>
      <c r="P12" s="1">
        <v>44036.768055555556</v>
      </c>
      <c r="Q12">
        <v>1</v>
      </c>
      <c r="R12" t="s">
        <v>199</v>
      </c>
      <c r="S12">
        <v>0</v>
      </c>
      <c r="U12">
        <v>100230</v>
      </c>
      <c r="V12" t="b">
        <v>1</v>
      </c>
      <c r="W12" t="b">
        <v>0</v>
      </c>
      <c r="X12" t="s">
        <v>171</v>
      </c>
      <c r="Y12" t="s">
        <v>176</v>
      </c>
      <c r="Z12" t="s">
        <v>177</v>
      </c>
      <c r="AA12" t="s">
        <v>178</v>
      </c>
      <c r="AB12" t="s">
        <v>179</v>
      </c>
      <c r="AC12" t="s">
        <v>180</v>
      </c>
      <c r="AD12" t="s">
        <v>181</v>
      </c>
      <c r="AE12" t="s">
        <v>182</v>
      </c>
      <c r="AF12" t="s">
        <v>71</v>
      </c>
      <c r="AG12" t="s">
        <v>183</v>
      </c>
      <c r="AH12" t="s">
        <v>184</v>
      </c>
      <c r="AI12" t="s">
        <v>176</v>
      </c>
      <c r="AJ12" t="s">
        <v>177</v>
      </c>
      <c r="AK12" t="s">
        <v>178</v>
      </c>
      <c r="AL12" t="s">
        <v>179</v>
      </c>
      <c r="AM12" t="s">
        <v>180</v>
      </c>
      <c r="AN12" t="s">
        <v>181</v>
      </c>
      <c r="AO12" t="s">
        <v>182</v>
      </c>
      <c r="AP12" t="s">
        <v>71</v>
      </c>
      <c r="AQ12" t="s">
        <v>183</v>
      </c>
      <c r="AR12" t="s">
        <v>184</v>
      </c>
      <c r="AY12" t="s">
        <v>189</v>
      </c>
      <c r="BD12">
        <v>0</v>
      </c>
      <c r="BQ12" t="str">
        <f>VLOOKUP($AY12,States!$B$4:$AZ$2000,MATCH(AP12,States!$B$3:$AZ$3,FALSE),FALSE)</f>
        <v>Nick Cisler</v>
      </c>
      <c r="BR12" t="str">
        <f>VLOOKUP($BQ12,'Rep Contact info'!$B$3:$D$400,MATCH(BR$1,'Rep Contact info'!$B$2:$D$2,FALSE),FALSE)</f>
        <v>(215) 435-4353</v>
      </c>
      <c r="BS12" t="str">
        <f>VLOOKUP($BQ12,'Rep Contact info'!$B$3:$D$400,MATCH(BS$1,'Rep Contact info'!$B$2:$D$2,FALSE),FALSE)</f>
        <v>ncisler@gmail.com</v>
      </c>
    </row>
    <row r="13" spans="1:71" x14ac:dyDescent="0.35">
      <c r="A13" t="s">
        <v>168</v>
      </c>
      <c r="B13" t="s">
        <v>169</v>
      </c>
      <c r="P13" s="1">
        <v>44036.768055555556</v>
      </c>
      <c r="Q13">
        <v>1</v>
      </c>
      <c r="R13" t="s">
        <v>200</v>
      </c>
      <c r="S13">
        <v>0</v>
      </c>
      <c r="U13">
        <v>100173</v>
      </c>
      <c r="V13" t="b">
        <v>1</v>
      </c>
      <c r="W13" t="b">
        <v>0</v>
      </c>
      <c r="X13" t="s">
        <v>171</v>
      </c>
      <c r="Y13" t="s">
        <v>176</v>
      </c>
      <c r="Z13" t="s">
        <v>177</v>
      </c>
      <c r="AA13" t="s">
        <v>178</v>
      </c>
      <c r="AB13" t="s">
        <v>179</v>
      </c>
      <c r="AC13" t="s">
        <v>180</v>
      </c>
      <c r="AD13" t="s">
        <v>181</v>
      </c>
      <c r="AE13" t="s">
        <v>182</v>
      </c>
      <c r="AF13" t="s">
        <v>71</v>
      </c>
      <c r="AG13" t="s">
        <v>183</v>
      </c>
      <c r="AH13" t="s">
        <v>184</v>
      </c>
      <c r="AI13" t="s">
        <v>176</v>
      </c>
      <c r="AJ13" t="s">
        <v>177</v>
      </c>
      <c r="AK13" t="s">
        <v>178</v>
      </c>
      <c r="AL13" t="s">
        <v>179</v>
      </c>
      <c r="AM13" t="s">
        <v>180</v>
      </c>
      <c r="AN13" t="s">
        <v>181</v>
      </c>
      <c r="AO13" t="s">
        <v>182</v>
      </c>
      <c r="AP13" t="s">
        <v>71</v>
      </c>
      <c r="AQ13" t="s">
        <v>183</v>
      </c>
      <c r="AR13" t="s">
        <v>184</v>
      </c>
      <c r="AY13" t="s">
        <v>189</v>
      </c>
      <c r="BD13">
        <v>0</v>
      </c>
      <c r="BQ13" t="str">
        <f>VLOOKUP($AY13,States!$B$4:$AZ$2000,MATCH(AP13,States!$B$3:$AZ$3,FALSE),FALSE)</f>
        <v>Nick Cisler</v>
      </c>
      <c r="BR13" t="str">
        <f>VLOOKUP($BQ13,'Rep Contact info'!$B$3:$D$400,MATCH(BR$1,'Rep Contact info'!$B$2:$D$2,FALSE),FALSE)</f>
        <v>(215) 435-4353</v>
      </c>
      <c r="BS13" t="str">
        <f>VLOOKUP($BQ13,'Rep Contact info'!$B$3:$D$400,MATCH(BS$1,'Rep Contact info'!$B$2:$D$2,FALSE),FALSE)</f>
        <v>ncisler@gmail.com</v>
      </c>
    </row>
    <row r="14" spans="1:71" x14ac:dyDescent="0.35">
      <c r="A14" t="s">
        <v>168</v>
      </c>
      <c r="B14" t="s">
        <v>169</v>
      </c>
      <c r="P14" s="1">
        <v>44036.768055555556</v>
      </c>
      <c r="Q14">
        <v>1</v>
      </c>
      <c r="R14" t="s">
        <v>201</v>
      </c>
      <c r="S14">
        <v>0</v>
      </c>
      <c r="U14">
        <v>100281</v>
      </c>
      <c r="V14" t="b">
        <v>1</v>
      </c>
      <c r="W14" t="b">
        <v>0</v>
      </c>
      <c r="X14" t="s">
        <v>171</v>
      </c>
      <c r="Y14" t="s">
        <v>176</v>
      </c>
      <c r="Z14" t="s">
        <v>177</v>
      </c>
      <c r="AA14" t="s">
        <v>178</v>
      </c>
      <c r="AB14" t="s">
        <v>179</v>
      </c>
      <c r="AC14" t="s">
        <v>180</v>
      </c>
      <c r="AD14" t="s">
        <v>181</v>
      </c>
      <c r="AE14" t="s">
        <v>182</v>
      </c>
      <c r="AF14" t="s">
        <v>71</v>
      </c>
      <c r="AG14" t="s">
        <v>183</v>
      </c>
      <c r="AH14" t="s">
        <v>184</v>
      </c>
      <c r="AI14" t="s">
        <v>176</v>
      </c>
      <c r="AJ14" t="s">
        <v>177</v>
      </c>
      <c r="AK14" t="s">
        <v>178</v>
      </c>
      <c r="AL14" t="s">
        <v>179</v>
      </c>
      <c r="AM14" t="s">
        <v>180</v>
      </c>
      <c r="AN14" t="s">
        <v>181</v>
      </c>
      <c r="AO14" t="s">
        <v>182</v>
      </c>
      <c r="AP14" t="s">
        <v>71</v>
      </c>
      <c r="AQ14" t="s">
        <v>183</v>
      </c>
      <c r="AR14" t="s">
        <v>184</v>
      </c>
      <c r="AY14" t="s">
        <v>189</v>
      </c>
      <c r="BD14">
        <v>0</v>
      </c>
      <c r="BQ14" t="str">
        <f>VLOOKUP($AY14,States!$B$4:$AZ$2000,MATCH(AP14,States!$B$3:$AZ$3,FALSE),FALSE)</f>
        <v>Nick Cisler</v>
      </c>
      <c r="BR14" t="str">
        <f>VLOOKUP($BQ14,'Rep Contact info'!$B$3:$D$400,MATCH(BR$1,'Rep Contact info'!$B$2:$D$2,FALSE),FALSE)</f>
        <v>(215) 435-4353</v>
      </c>
      <c r="BS14" t="str">
        <f>VLOOKUP($BQ14,'Rep Contact info'!$B$3:$D$400,MATCH(BS$1,'Rep Contact info'!$B$2:$D$2,FALSE),FALSE)</f>
        <v>ncisler@gmail.com</v>
      </c>
    </row>
    <row r="15" spans="1:71" x14ac:dyDescent="0.35">
      <c r="A15" t="s">
        <v>168</v>
      </c>
      <c r="B15" t="s">
        <v>169</v>
      </c>
      <c r="P15" s="1">
        <v>44036.768055555556</v>
      </c>
      <c r="Q15">
        <v>2</v>
      </c>
      <c r="R15" t="s">
        <v>202</v>
      </c>
      <c r="S15">
        <v>0</v>
      </c>
      <c r="U15">
        <v>4347</v>
      </c>
      <c r="V15" t="b">
        <v>1</v>
      </c>
      <c r="W15" t="b">
        <v>0</v>
      </c>
      <c r="X15" t="s">
        <v>171</v>
      </c>
      <c r="Y15" t="s">
        <v>176</v>
      </c>
      <c r="Z15" t="s">
        <v>177</v>
      </c>
      <c r="AA15" t="s">
        <v>178</v>
      </c>
      <c r="AB15" t="s">
        <v>179</v>
      </c>
      <c r="AC15" t="s">
        <v>180</v>
      </c>
      <c r="AD15" t="s">
        <v>181</v>
      </c>
      <c r="AE15" t="s">
        <v>182</v>
      </c>
      <c r="AF15" t="s">
        <v>71</v>
      </c>
      <c r="AG15" t="s">
        <v>183</v>
      </c>
      <c r="AH15" t="s">
        <v>184</v>
      </c>
      <c r="AI15" t="s">
        <v>176</v>
      </c>
      <c r="AJ15" t="s">
        <v>177</v>
      </c>
      <c r="AK15" t="s">
        <v>178</v>
      </c>
      <c r="AL15" t="s">
        <v>179</v>
      </c>
      <c r="AM15" t="s">
        <v>180</v>
      </c>
      <c r="AN15" t="s">
        <v>181</v>
      </c>
      <c r="AO15" t="s">
        <v>182</v>
      </c>
      <c r="AP15" t="s">
        <v>71</v>
      </c>
      <c r="AQ15" t="s">
        <v>183</v>
      </c>
      <c r="AR15" t="s">
        <v>184</v>
      </c>
      <c r="AY15" t="s">
        <v>185</v>
      </c>
      <c r="BD15">
        <v>0</v>
      </c>
      <c r="BQ15" t="str">
        <f>VLOOKUP($AY15,States!$B$4:$AZ$2000,MATCH(AP15,States!$B$3:$AZ$3,FALSE),FALSE)</f>
        <v>Greg Ambrogi</v>
      </c>
      <c r="BR15" t="str">
        <f>VLOOKUP($BQ15,'Rep Contact info'!$B$3:$D$400,MATCH(BR$1,'Rep Contact info'!$B$2:$D$2,FALSE),FALSE)</f>
        <v>(610) 420-3842</v>
      </c>
      <c r="BS15" t="str">
        <f>VLOOKUP($BQ15,'Rep Contact info'!$B$3:$D$400,MATCH(BS$1,'Rep Contact info'!$B$2:$D$2,FALSE),FALSE)</f>
        <v>grambrog24@gmail.com</v>
      </c>
    </row>
    <row r="16" spans="1:71" x14ac:dyDescent="0.35">
      <c r="A16" t="s">
        <v>168</v>
      </c>
      <c r="B16" t="s">
        <v>169</v>
      </c>
      <c r="P16" s="1">
        <v>44036.768055555556</v>
      </c>
      <c r="Q16">
        <v>2</v>
      </c>
      <c r="R16" t="s">
        <v>203</v>
      </c>
      <c r="S16">
        <v>0</v>
      </c>
      <c r="U16">
        <v>4335</v>
      </c>
      <c r="V16" t="b">
        <v>1</v>
      </c>
      <c r="W16" t="b">
        <v>0</v>
      </c>
      <c r="X16" t="s">
        <v>171</v>
      </c>
      <c r="Y16" t="s">
        <v>176</v>
      </c>
      <c r="Z16" t="s">
        <v>177</v>
      </c>
      <c r="AA16" t="s">
        <v>178</v>
      </c>
      <c r="AB16" t="s">
        <v>179</v>
      </c>
      <c r="AC16" t="s">
        <v>180</v>
      </c>
      <c r="AD16" t="s">
        <v>181</v>
      </c>
      <c r="AE16" t="s">
        <v>182</v>
      </c>
      <c r="AF16" t="s">
        <v>71</v>
      </c>
      <c r="AG16" t="s">
        <v>183</v>
      </c>
      <c r="AH16" t="s">
        <v>184</v>
      </c>
      <c r="AI16" t="s">
        <v>176</v>
      </c>
      <c r="AJ16" t="s">
        <v>177</v>
      </c>
      <c r="AK16" t="s">
        <v>178</v>
      </c>
      <c r="AL16" t="s">
        <v>179</v>
      </c>
      <c r="AM16" t="s">
        <v>180</v>
      </c>
      <c r="AN16" t="s">
        <v>181</v>
      </c>
      <c r="AO16" t="s">
        <v>182</v>
      </c>
      <c r="AP16" t="s">
        <v>71</v>
      </c>
      <c r="AQ16" t="s">
        <v>183</v>
      </c>
      <c r="AR16" t="s">
        <v>184</v>
      </c>
      <c r="AY16" t="s">
        <v>185</v>
      </c>
      <c r="BD16">
        <v>0</v>
      </c>
      <c r="BQ16" t="str">
        <f>VLOOKUP($AY16,States!$B$4:$AZ$2000,MATCH(AP16,States!$B$3:$AZ$3,FALSE),FALSE)</f>
        <v>Greg Ambrogi</v>
      </c>
      <c r="BR16" t="str">
        <f>VLOOKUP($BQ16,'Rep Contact info'!$B$3:$D$400,MATCH(BR$1,'Rep Contact info'!$B$2:$D$2,FALSE),FALSE)</f>
        <v>(610) 420-3842</v>
      </c>
      <c r="BS16" t="str">
        <f>VLOOKUP($BQ16,'Rep Contact info'!$B$3:$D$400,MATCH(BS$1,'Rep Contact info'!$B$2:$D$2,FALSE),FALSE)</f>
        <v>grambrog24@gmail.com</v>
      </c>
    </row>
    <row r="17" spans="1:71" x14ac:dyDescent="0.35">
      <c r="A17" t="s">
        <v>168</v>
      </c>
      <c r="B17" t="s">
        <v>169</v>
      </c>
      <c r="P17" s="1">
        <v>44036.768055555556</v>
      </c>
      <c r="Q17">
        <v>1</v>
      </c>
      <c r="R17" t="s">
        <v>204</v>
      </c>
      <c r="S17">
        <v>0</v>
      </c>
      <c r="V17" t="b">
        <v>1</v>
      </c>
      <c r="W17" t="b">
        <v>0</v>
      </c>
      <c r="X17" t="s">
        <v>171</v>
      </c>
      <c r="Y17" t="s">
        <v>176</v>
      </c>
      <c r="Z17" t="s">
        <v>177</v>
      </c>
      <c r="AA17" t="s">
        <v>178</v>
      </c>
      <c r="AB17" t="s">
        <v>179</v>
      </c>
      <c r="AC17" t="s">
        <v>180</v>
      </c>
      <c r="AD17" t="s">
        <v>181</v>
      </c>
      <c r="AE17" t="s">
        <v>182</v>
      </c>
      <c r="AF17" t="s">
        <v>71</v>
      </c>
      <c r="AG17" t="s">
        <v>183</v>
      </c>
      <c r="AH17" t="s">
        <v>184</v>
      </c>
      <c r="AI17" t="s">
        <v>176</v>
      </c>
      <c r="AJ17" t="s">
        <v>177</v>
      </c>
      <c r="AK17" t="s">
        <v>178</v>
      </c>
      <c r="AL17" t="s">
        <v>179</v>
      </c>
      <c r="AM17" t="s">
        <v>180</v>
      </c>
      <c r="AN17" t="s">
        <v>181</v>
      </c>
      <c r="AO17" t="s">
        <v>182</v>
      </c>
      <c r="AP17" t="s">
        <v>71</v>
      </c>
      <c r="AQ17" t="s">
        <v>183</v>
      </c>
      <c r="AR17" t="s">
        <v>184</v>
      </c>
      <c r="AY17" t="s">
        <v>194</v>
      </c>
      <c r="BD17">
        <v>0</v>
      </c>
      <c r="BQ17" t="str">
        <f>VLOOKUP($AY17,States!$B$4:$AZ$2000,MATCH(AP17,States!$B$3:$AZ$3,FALSE),FALSE)</f>
        <v>Nick Cisler</v>
      </c>
      <c r="BR17" t="str">
        <f>VLOOKUP($BQ17,'Rep Contact info'!$B$3:$D$400,MATCH(BR$1,'Rep Contact info'!$B$2:$D$2,FALSE),FALSE)</f>
        <v>(215) 435-4353</v>
      </c>
      <c r="BS17" t="str">
        <f>VLOOKUP($BQ17,'Rep Contact info'!$B$3:$D$400,MATCH(BS$1,'Rep Contact info'!$B$2:$D$2,FALSE),FALSE)</f>
        <v>ncisler@gmail.com</v>
      </c>
    </row>
    <row r="18" spans="1:71" x14ac:dyDescent="0.35">
      <c r="A18" t="s">
        <v>168</v>
      </c>
      <c r="B18" t="s">
        <v>169</v>
      </c>
      <c r="P18" s="1">
        <v>44036.768055555556</v>
      </c>
      <c r="Q18">
        <v>1</v>
      </c>
      <c r="R18" t="s">
        <v>205</v>
      </c>
      <c r="S18">
        <v>0</v>
      </c>
      <c r="V18" t="b">
        <v>1</v>
      </c>
      <c r="W18" t="b">
        <v>0</v>
      </c>
      <c r="X18" t="s">
        <v>171</v>
      </c>
      <c r="Y18" t="s">
        <v>176</v>
      </c>
      <c r="Z18" t="s">
        <v>177</v>
      </c>
      <c r="AA18" t="s">
        <v>178</v>
      </c>
      <c r="AB18" t="s">
        <v>179</v>
      </c>
      <c r="AC18" t="s">
        <v>180</v>
      </c>
      <c r="AD18" t="s">
        <v>181</v>
      </c>
      <c r="AE18" t="s">
        <v>182</v>
      </c>
      <c r="AF18" t="s">
        <v>71</v>
      </c>
      <c r="AG18" t="s">
        <v>183</v>
      </c>
      <c r="AH18" t="s">
        <v>184</v>
      </c>
      <c r="AI18" t="s">
        <v>176</v>
      </c>
      <c r="AJ18" t="s">
        <v>177</v>
      </c>
      <c r="AK18" t="s">
        <v>178</v>
      </c>
      <c r="AL18" t="s">
        <v>179</v>
      </c>
      <c r="AM18" t="s">
        <v>180</v>
      </c>
      <c r="AN18" t="s">
        <v>181</v>
      </c>
      <c r="AO18" t="s">
        <v>182</v>
      </c>
      <c r="AP18" t="s">
        <v>71</v>
      </c>
      <c r="AQ18" t="s">
        <v>183</v>
      </c>
      <c r="AR18" t="s">
        <v>184</v>
      </c>
      <c r="AY18" t="s">
        <v>194</v>
      </c>
      <c r="BD18">
        <v>0</v>
      </c>
      <c r="BQ18" t="str">
        <f>VLOOKUP($AY18,States!$B$4:$AZ$2000,MATCH(AP18,States!$B$3:$AZ$3,FALSE),FALSE)</f>
        <v>Nick Cisler</v>
      </c>
      <c r="BR18" t="str">
        <f>VLOOKUP($BQ18,'Rep Contact info'!$B$3:$D$400,MATCH(BR$1,'Rep Contact info'!$B$2:$D$2,FALSE),FALSE)</f>
        <v>(215) 435-4353</v>
      </c>
      <c r="BS18" t="str">
        <f>VLOOKUP($BQ18,'Rep Contact info'!$B$3:$D$400,MATCH(BS$1,'Rep Contact info'!$B$2:$D$2,FALSE),FALSE)</f>
        <v>ncisler@gmail.com</v>
      </c>
    </row>
    <row r="19" spans="1:71" x14ac:dyDescent="0.35">
      <c r="A19" t="s">
        <v>168</v>
      </c>
      <c r="B19" t="s">
        <v>169</v>
      </c>
      <c r="P19" s="1">
        <v>44036.768055555556</v>
      </c>
      <c r="Q19">
        <v>1</v>
      </c>
      <c r="R19" t="s">
        <v>206</v>
      </c>
      <c r="S19">
        <v>0</v>
      </c>
      <c r="U19">
        <v>100304</v>
      </c>
      <c r="V19" t="b">
        <v>1</v>
      </c>
      <c r="W19" t="b">
        <v>0</v>
      </c>
      <c r="X19" t="s">
        <v>171</v>
      </c>
      <c r="Y19" t="s">
        <v>176</v>
      </c>
      <c r="Z19" t="s">
        <v>177</v>
      </c>
      <c r="AA19" t="s">
        <v>178</v>
      </c>
      <c r="AB19" t="s">
        <v>179</v>
      </c>
      <c r="AC19" t="s">
        <v>180</v>
      </c>
      <c r="AD19" t="s">
        <v>181</v>
      </c>
      <c r="AE19" t="s">
        <v>182</v>
      </c>
      <c r="AF19" t="s">
        <v>71</v>
      </c>
      <c r="AG19" t="s">
        <v>183</v>
      </c>
      <c r="AH19" t="s">
        <v>184</v>
      </c>
      <c r="AI19" t="s">
        <v>176</v>
      </c>
      <c r="AJ19" t="s">
        <v>177</v>
      </c>
      <c r="AK19" t="s">
        <v>178</v>
      </c>
      <c r="AL19" t="s">
        <v>179</v>
      </c>
      <c r="AM19" t="s">
        <v>180</v>
      </c>
      <c r="AN19" t="s">
        <v>181</v>
      </c>
      <c r="AO19" t="s">
        <v>182</v>
      </c>
      <c r="AP19" t="s">
        <v>71</v>
      </c>
      <c r="AQ19" t="s">
        <v>183</v>
      </c>
      <c r="AR19" t="s">
        <v>184</v>
      </c>
      <c r="AY19" t="s">
        <v>189</v>
      </c>
      <c r="BD19">
        <v>0</v>
      </c>
      <c r="BQ19" t="str">
        <f>VLOOKUP($AY19,States!$B$4:$AZ$2000,MATCH(AP19,States!$B$3:$AZ$3,FALSE),FALSE)</f>
        <v>Nick Cisler</v>
      </c>
      <c r="BR19" t="str">
        <f>VLOOKUP($BQ19,'Rep Contact info'!$B$3:$D$400,MATCH(BR$1,'Rep Contact info'!$B$2:$D$2,FALSE),FALSE)</f>
        <v>(215) 435-4353</v>
      </c>
      <c r="BS19" t="str">
        <f>VLOOKUP($BQ19,'Rep Contact info'!$B$3:$D$400,MATCH(BS$1,'Rep Contact info'!$B$2:$D$2,FALSE),FALSE)</f>
        <v>ncisler@gmail.com</v>
      </c>
    </row>
    <row r="20" spans="1:71" x14ac:dyDescent="0.35">
      <c r="A20" t="s">
        <v>168</v>
      </c>
      <c r="B20" t="s">
        <v>169</v>
      </c>
      <c r="P20" s="1">
        <v>44036.768055555556</v>
      </c>
      <c r="Q20">
        <v>2</v>
      </c>
      <c r="R20" t="s">
        <v>207</v>
      </c>
      <c r="S20">
        <v>0</v>
      </c>
      <c r="U20">
        <v>100241</v>
      </c>
      <c r="V20" t="b">
        <v>1</v>
      </c>
      <c r="W20" t="b">
        <v>0</v>
      </c>
      <c r="X20" t="s">
        <v>171</v>
      </c>
      <c r="Y20" t="s">
        <v>176</v>
      </c>
      <c r="Z20" t="s">
        <v>177</v>
      </c>
      <c r="AA20" t="s">
        <v>178</v>
      </c>
      <c r="AB20" t="s">
        <v>179</v>
      </c>
      <c r="AC20" t="s">
        <v>180</v>
      </c>
      <c r="AD20" t="s">
        <v>181</v>
      </c>
      <c r="AE20" t="s">
        <v>182</v>
      </c>
      <c r="AF20" t="s">
        <v>71</v>
      </c>
      <c r="AG20" t="s">
        <v>183</v>
      </c>
      <c r="AH20" t="s">
        <v>184</v>
      </c>
      <c r="AI20" t="s">
        <v>176</v>
      </c>
      <c r="AJ20" t="s">
        <v>177</v>
      </c>
      <c r="AK20" t="s">
        <v>178</v>
      </c>
      <c r="AL20" t="s">
        <v>179</v>
      </c>
      <c r="AM20" t="s">
        <v>180</v>
      </c>
      <c r="AN20" t="s">
        <v>181</v>
      </c>
      <c r="AO20" t="s">
        <v>182</v>
      </c>
      <c r="AP20" t="s">
        <v>71</v>
      </c>
      <c r="AQ20" t="s">
        <v>183</v>
      </c>
      <c r="AR20" t="s">
        <v>184</v>
      </c>
      <c r="AY20" t="s">
        <v>189</v>
      </c>
      <c r="BD20">
        <v>0</v>
      </c>
      <c r="BQ20" t="str">
        <f>VLOOKUP($AY20,States!$B$4:$AZ$2000,MATCH(AP20,States!$B$3:$AZ$3,FALSE),FALSE)</f>
        <v>Nick Cisler</v>
      </c>
      <c r="BR20" t="str">
        <f>VLOOKUP($BQ20,'Rep Contact info'!$B$3:$D$400,MATCH(BR$1,'Rep Contact info'!$B$2:$D$2,FALSE),FALSE)</f>
        <v>(215) 435-4353</v>
      </c>
      <c r="BS20" t="str">
        <f>VLOOKUP($BQ20,'Rep Contact info'!$B$3:$D$400,MATCH(BS$1,'Rep Contact info'!$B$2:$D$2,FALSE),FALSE)</f>
        <v>ncisler@gmail.com</v>
      </c>
    </row>
    <row r="21" spans="1:71" x14ac:dyDescent="0.35">
      <c r="A21" t="s">
        <v>208</v>
      </c>
      <c r="B21" t="s">
        <v>209</v>
      </c>
      <c r="C21" t="s">
        <v>170</v>
      </c>
      <c r="E21" t="s">
        <v>171</v>
      </c>
      <c r="F21" s="1">
        <v>44032.645138888889</v>
      </c>
      <c r="G21" t="s">
        <v>172</v>
      </c>
      <c r="H21" t="s">
        <v>173</v>
      </c>
      <c r="I21">
        <v>0</v>
      </c>
      <c r="J21">
        <v>0</v>
      </c>
      <c r="K21">
        <v>0</v>
      </c>
      <c r="L21">
        <v>0</v>
      </c>
      <c r="N21">
        <v>0</v>
      </c>
      <c r="O21" t="s">
        <v>174</v>
      </c>
      <c r="P21" s="1">
        <v>44032.638194444444</v>
      </c>
      <c r="Q21">
        <v>1</v>
      </c>
      <c r="R21" t="s">
        <v>210</v>
      </c>
      <c r="S21">
        <v>0</v>
      </c>
      <c r="U21">
        <v>100385</v>
      </c>
      <c r="V21" t="b">
        <v>1</v>
      </c>
      <c r="W21" t="b">
        <v>0</v>
      </c>
      <c r="X21" t="s">
        <v>171</v>
      </c>
      <c r="Y21" t="s">
        <v>211</v>
      </c>
      <c r="Z21" t="s">
        <v>212</v>
      </c>
      <c r="AA21" t="s">
        <v>212</v>
      </c>
      <c r="AC21" t="s">
        <v>213</v>
      </c>
      <c r="AD21" t="s">
        <v>214</v>
      </c>
      <c r="AE21" t="s">
        <v>215</v>
      </c>
      <c r="AF21" t="s">
        <v>71</v>
      </c>
      <c r="AG21" t="s">
        <v>183</v>
      </c>
      <c r="AH21" t="s">
        <v>216</v>
      </c>
      <c r="AI21" t="s">
        <v>211</v>
      </c>
      <c r="AJ21" t="s">
        <v>212</v>
      </c>
      <c r="AK21" t="s">
        <v>212</v>
      </c>
      <c r="AM21" t="s">
        <v>213</v>
      </c>
      <c r="AN21" t="s">
        <v>214</v>
      </c>
      <c r="AO21" t="s">
        <v>215</v>
      </c>
      <c r="AP21" t="s">
        <v>71</v>
      </c>
      <c r="AQ21" t="s">
        <v>183</v>
      </c>
      <c r="AR21" t="s">
        <v>216</v>
      </c>
      <c r="AX21">
        <v>0</v>
      </c>
      <c r="AY21" t="s">
        <v>189</v>
      </c>
      <c r="AZ21" s="2">
        <v>2610000000000</v>
      </c>
      <c r="BB21" t="s">
        <v>186</v>
      </c>
      <c r="BC21" t="s">
        <v>187</v>
      </c>
      <c r="BD21">
        <v>0</v>
      </c>
      <c r="BQ21" t="str">
        <f>VLOOKUP($AY21,States!$B$4:$AZ$2000,MATCH(AP21,States!$B$3:$AZ$3,FALSE),FALSE)</f>
        <v>Nick Cisler</v>
      </c>
      <c r="BR21" t="str">
        <f>VLOOKUP($BQ21,'Rep Contact info'!$B$3:$D$400,MATCH(BR$1,'Rep Contact info'!$B$2:$D$2,FALSE),FALSE)</f>
        <v>(215) 435-4353</v>
      </c>
      <c r="BS21" t="str">
        <f>VLOOKUP($BQ21,'Rep Contact info'!$B$3:$D$400,MATCH(BS$1,'Rep Contact info'!$B$2:$D$2,FALSE),FALSE)</f>
        <v>ncisler@gmail.com</v>
      </c>
    </row>
    <row r="22" spans="1:71" x14ac:dyDescent="0.35">
      <c r="A22" t="s">
        <v>208</v>
      </c>
      <c r="B22" t="s">
        <v>209</v>
      </c>
      <c r="P22" s="1">
        <v>44032.638194444444</v>
      </c>
      <c r="Q22">
        <v>1</v>
      </c>
      <c r="R22" t="s">
        <v>217</v>
      </c>
      <c r="S22">
        <v>0</v>
      </c>
      <c r="U22">
        <v>100364</v>
      </c>
      <c r="V22" t="b">
        <v>1</v>
      </c>
      <c r="W22" t="b">
        <v>0</v>
      </c>
      <c r="X22" t="s">
        <v>171</v>
      </c>
      <c r="Y22" t="s">
        <v>211</v>
      </c>
      <c r="Z22" t="s">
        <v>212</v>
      </c>
      <c r="AA22" t="s">
        <v>212</v>
      </c>
      <c r="AC22" t="s">
        <v>213</v>
      </c>
      <c r="AD22" t="s">
        <v>214</v>
      </c>
      <c r="AE22" t="s">
        <v>215</v>
      </c>
      <c r="AF22" t="s">
        <v>71</v>
      </c>
      <c r="AG22" t="s">
        <v>183</v>
      </c>
      <c r="AH22" t="s">
        <v>216</v>
      </c>
      <c r="AI22" t="s">
        <v>211</v>
      </c>
      <c r="AJ22" t="s">
        <v>212</v>
      </c>
      <c r="AK22" t="s">
        <v>212</v>
      </c>
      <c r="AM22" t="s">
        <v>213</v>
      </c>
      <c r="AN22" t="s">
        <v>214</v>
      </c>
      <c r="AO22" t="s">
        <v>215</v>
      </c>
      <c r="AP22" t="s">
        <v>71</v>
      </c>
      <c r="AQ22" t="s">
        <v>183</v>
      </c>
      <c r="AR22" t="s">
        <v>216</v>
      </c>
      <c r="AY22" t="s">
        <v>189</v>
      </c>
      <c r="BD22">
        <v>0</v>
      </c>
      <c r="BQ22" t="str">
        <f>VLOOKUP($AY22,States!$B$4:$AZ$2000,MATCH(AP22,States!$B$3:$AZ$3,FALSE),FALSE)</f>
        <v>Nick Cisler</v>
      </c>
      <c r="BR22" t="str">
        <f>VLOOKUP($BQ22,'Rep Contact info'!$B$3:$D$400,MATCH(BR$1,'Rep Contact info'!$B$2:$D$2,FALSE),FALSE)</f>
        <v>(215) 435-4353</v>
      </c>
      <c r="BS22" t="str">
        <f>VLOOKUP($BQ22,'Rep Contact info'!$B$3:$D$400,MATCH(BS$1,'Rep Contact info'!$B$2:$D$2,FALSE),FALSE)</f>
        <v>ncisler@gmail.com</v>
      </c>
    </row>
    <row r="23" spans="1:71" x14ac:dyDescent="0.35">
      <c r="A23" t="s">
        <v>218</v>
      </c>
      <c r="B23" t="s">
        <v>209</v>
      </c>
      <c r="C23" t="s">
        <v>170</v>
      </c>
      <c r="E23" t="s">
        <v>171</v>
      </c>
      <c r="F23" s="1">
        <v>44032.583333333336</v>
      </c>
      <c r="G23" t="s">
        <v>172</v>
      </c>
      <c r="H23" t="s">
        <v>173</v>
      </c>
      <c r="I23">
        <v>0</v>
      </c>
      <c r="J23">
        <v>0</v>
      </c>
      <c r="K23">
        <v>0</v>
      </c>
      <c r="L23">
        <v>0</v>
      </c>
      <c r="N23">
        <v>0</v>
      </c>
      <c r="O23" t="s">
        <v>174</v>
      </c>
      <c r="P23" s="1">
        <v>44032.582638888889</v>
      </c>
      <c r="Q23">
        <v>1</v>
      </c>
      <c r="R23" t="s">
        <v>219</v>
      </c>
      <c r="S23">
        <v>0</v>
      </c>
      <c r="U23">
        <v>100249</v>
      </c>
      <c r="V23" t="b">
        <v>1</v>
      </c>
      <c r="W23" t="b">
        <v>0</v>
      </c>
      <c r="X23" t="s">
        <v>171</v>
      </c>
      <c r="Y23" t="s">
        <v>220</v>
      </c>
      <c r="Z23" t="s">
        <v>221</v>
      </c>
      <c r="AA23" t="s">
        <v>221</v>
      </c>
      <c r="AC23" t="s">
        <v>222</v>
      </c>
      <c r="AD23" t="s">
        <v>49</v>
      </c>
      <c r="AE23" t="s">
        <v>223</v>
      </c>
      <c r="AF23" t="s">
        <v>71</v>
      </c>
      <c r="AG23" t="s">
        <v>183</v>
      </c>
      <c r="AH23">
        <v>16163222043</v>
      </c>
      <c r="AI23" t="s">
        <v>211</v>
      </c>
      <c r="AJ23" t="s">
        <v>224</v>
      </c>
      <c r="AK23" t="s">
        <v>224</v>
      </c>
      <c r="AN23" t="s">
        <v>225</v>
      </c>
      <c r="AO23" t="s">
        <v>226</v>
      </c>
      <c r="AP23" t="s">
        <v>71</v>
      </c>
      <c r="AQ23" t="s">
        <v>183</v>
      </c>
      <c r="AR23">
        <v>16168190052</v>
      </c>
      <c r="AX23">
        <v>0</v>
      </c>
      <c r="AY23" t="s">
        <v>189</v>
      </c>
      <c r="AZ23" s="2">
        <v>2610000000000</v>
      </c>
      <c r="BB23" t="s">
        <v>186</v>
      </c>
      <c r="BC23" t="s">
        <v>187</v>
      </c>
      <c r="BD23">
        <v>0</v>
      </c>
      <c r="BQ23" t="str">
        <f>VLOOKUP($AY23,States!$B$4:$AZ$2000,MATCH(AP23,States!$B$3:$AZ$3,FALSE),FALSE)</f>
        <v>Nick Cisler</v>
      </c>
      <c r="BR23" t="str">
        <f>VLOOKUP($BQ23,'Rep Contact info'!$B$3:$D$400,MATCH(BR$1,'Rep Contact info'!$B$2:$D$2,FALSE),FALSE)</f>
        <v>(215) 435-4353</v>
      </c>
      <c r="BS23" t="str">
        <f>VLOOKUP($BQ23,'Rep Contact info'!$B$3:$D$400,MATCH(BS$1,'Rep Contact info'!$B$2:$D$2,FALSE),FALSE)</f>
        <v>ncisler@gmail.com</v>
      </c>
    </row>
    <row r="24" spans="1:71" x14ac:dyDescent="0.35">
      <c r="A24" t="s">
        <v>218</v>
      </c>
      <c r="B24" t="s">
        <v>209</v>
      </c>
      <c r="P24" s="1">
        <v>44032.582638888889</v>
      </c>
      <c r="Q24">
        <v>2</v>
      </c>
      <c r="R24" t="s">
        <v>210</v>
      </c>
      <c r="S24">
        <v>0</v>
      </c>
      <c r="U24">
        <v>100385</v>
      </c>
      <c r="V24" t="b">
        <v>1</v>
      </c>
      <c r="W24" t="b">
        <v>0</v>
      </c>
      <c r="X24" t="s">
        <v>171</v>
      </c>
      <c r="Y24" t="s">
        <v>220</v>
      </c>
      <c r="Z24" t="s">
        <v>221</v>
      </c>
      <c r="AA24" t="s">
        <v>221</v>
      </c>
      <c r="AC24" t="s">
        <v>222</v>
      </c>
      <c r="AD24" t="s">
        <v>49</v>
      </c>
      <c r="AE24" t="s">
        <v>223</v>
      </c>
      <c r="AF24" t="s">
        <v>71</v>
      </c>
      <c r="AG24" t="s">
        <v>183</v>
      </c>
      <c r="AH24">
        <v>16163222043</v>
      </c>
      <c r="AI24" t="s">
        <v>211</v>
      </c>
      <c r="AJ24" t="s">
        <v>224</v>
      </c>
      <c r="AK24" t="s">
        <v>224</v>
      </c>
      <c r="AN24" t="s">
        <v>225</v>
      </c>
      <c r="AO24" t="s">
        <v>226</v>
      </c>
      <c r="AP24" t="s">
        <v>71</v>
      </c>
      <c r="AQ24" t="s">
        <v>183</v>
      </c>
      <c r="AR24">
        <v>16168190052</v>
      </c>
      <c r="AY24" t="s">
        <v>189</v>
      </c>
      <c r="BD24">
        <v>0</v>
      </c>
      <c r="BQ24" t="str">
        <f>VLOOKUP($AY24,States!$B$4:$AZ$2000,MATCH(AP24,States!$B$3:$AZ$3,FALSE),FALSE)</f>
        <v>Nick Cisler</v>
      </c>
      <c r="BR24" t="str">
        <f>VLOOKUP($BQ24,'Rep Contact info'!$B$3:$D$400,MATCH(BR$1,'Rep Contact info'!$B$2:$D$2,FALSE),FALSE)</f>
        <v>(215) 435-4353</v>
      </c>
      <c r="BS24" t="str">
        <f>VLOOKUP($BQ24,'Rep Contact info'!$B$3:$D$400,MATCH(BS$1,'Rep Contact info'!$B$2:$D$2,FALSE),FALSE)</f>
        <v>ncisler@gmail.com</v>
      </c>
    </row>
    <row r="25" spans="1:71" x14ac:dyDescent="0.35">
      <c r="A25" t="s">
        <v>227</v>
      </c>
      <c r="B25" t="s">
        <v>228</v>
      </c>
      <c r="C25" t="s">
        <v>170</v>
      </c>
      <c r="E25" t="s">
        <v>171</v>
      </c>
      <c r="F25" s="1">
        <v>44027.37777777778</v>
      </c>
      <c r="G25" t="s">
        <v>172</v>
      </c>
      <c r="H25" t="s">
        <v>173</v>
      </c>
      <c r="I25">
        <v>0</v>
      </c>
      <c r="J25">
        <v>0</v>
      </c>
      <c r="K25">
        <v>0</v>
      </c>
      <c r="L25">
        <v>0</v>
      </c>
      <c r="N25">
        <v>0</v>
      </c>
      <c r="O25" t="s">
        <v>174</v>
      </c>
      <c r="P25" s="1">
        <v>44026.624305555553</v>
      </c>
      <c r="Q25">
        <v>1</v>
      </c>
      <c r="R25" t="s">
        <v>191</v>
      </c>
      <c r="S25">
        <v>0</v>
      </c>
      <c r="U25">
        <v>100189</v>
      </c>
      <c r="V25" t="b">
        <v>1</v>
      </c>
      <c r="W25" t="b">
        <v>0</v>
      </c>
      <c r="X25" t="s">
        <v>171</v>
      </c>
      <c r="Y25" t="s">
        <v>229</v>
      </c>
      <c r="Z25" t="s">
        <v>230</v>
      </c>
      <c r="AA25" t="s">
        <v>230</v>
      </c>
      <c r="AC25" t="s">
        <v>231</v>
      </c>
      <c r="AD25" t="s">
        <v>225</v>
      </c>
      <c r="AE25" t="s">
        <v>226</v>
      </c>
      <c r="AF25" t="s">
        <v>71</v>
      </c>
      <c r="AG25" t="s">
        <v>183</v>
      </c>
      <c r="AH25" t="s">
        <v>232</v>
      </c>
      <c r="AI25" t="s">
        <v>229</v>
      </c>
      <c r="AJ25" t="s">
        <v>230</v>
      </c>
      <c r="AK25" t="s">
        <v>230</v>
      </c>
      <c r="AM25" t="s">
        <v>231</v>
      </c>
      <c r="AN25" t="s">
        <v>225</v>
      </c>
      <c r="AO25" t="s">
        <v>226</v>
      </c>
      <c r="AP25" t="s">
        <v>71</v>
      </c>
      <c r="AQ25" t="s">
        <v>183</v>
      </c>
      <c r="AR25" t="s">
        <v>232</v>
      </c>
      <c r="AX25">
        <v>0</v>
      </c>
      <c r="AY25" t="s">
        <v>189</v>
      </c>
      <c r="AZ25" s="2">
        <v>2600000000000</v>
      </c>
      <c r="BB25" t="s">
        <v>186</v>
      </c>
      <c r="BC25" t="s">
        <v>187</v>
      </c>
      <c r="BD25">
        <v>0</v>
      </c>
      <c r="BQ25" t="str">
        <f>VLOOKUP($AY25,States!$B$4:$AZ$2000,MATCH(AP25,States!$B$3:$AZ$3,FALSE),FALSE)</f>
        <v>Nick Cisler</v>
      </c>
      <c r="BR25" t="str">
        <f>VLOOKUP($BQ25,'Rep Contact info'!$B$3:$D$400,MATCH(BR$1,'Rep Contact info'!$B$2:$D$2,FALSE),FALSE)</f>
        <v>(215) 435-4353</v>
      </c>
      <c r="BS25" t="str">
        <f>VLOOKUP($BQ25,'Rep Contact info'!$B$3:$D$400,MATCH(BS$1,'Rep Contact info'!$B$2:$D$2,FALSE),FALSE)</f>
        <v>ncisler@gmail.com</v>
      </c>
    </row>
    <row r="26" spans="1:71" x14ac:dyDescent="0.35">
      <c r="A26" t="s">
        <v>227</v>
      </c>
      <c r="B26" t="s">
        <v>228</v>
      </c>
      <c r="P26" s="1">
        <v>44026.624305555553</v>
      </c>
      <c r="Q26">
        <v>1</v>
      </c>
      <c r="R26" t="s">
        <v>210</v>
      </c>
      <c r="S26">
        <v>0</v>
      </c>
      <c r="U26">
        <v>100385</v>
      </c>
      <c r="V26" t="b">
        <v>1</v>
      </c>
      <c r="W26" t="b">
        <v>0</v>
      </c>
      <c r="X26" t="s">
        <v>171</v>
      </c>
      <c r="Y26" t="s">
        <v>229</v>
      </c>
      <c r="Z26" t="s">
        <v>230</v>
      </c>
      <c r="AA26" t="s">
        <v>230</v>
      </c>
      <c r="AC26" t="s">
        <v>231</v>
      </c>
      <c r="AD26" t="s">
        <v>225</v>
      </c>
      <c r="AE26" t="s">
        <v>226</v>
      </c>
      <c r="AF26" t="s">
        <v>71</v>
      </c>
      <c r="AG26" t="s">
        <v>183</v>
      </c>
      <c r="AH26" t="s">
        <v>232</v>
      </c>
      <c r="AI26" t="s">
        <v>229</v>
      </c>
      <c r="AJ26" t="s">
        <v>230</v>
      </c>
      <c r="AK26" t="s">
        <v>230</v>
      </c>
      <c r="AM26" t="s">
        <v>231</v>
      </c>
      <c r="AN26" t="s">
        <v>225</v>
      </c>
      <c r="AO26" t="s">
        <v>226</v>
      </c>
      <c r="AP26" t="s">
        <v>71</v>
      </c>
      <c r="AQ26" t="s">
        <v>183</v>
      </c>
      <c r="AR26" t="s">
        <v>232</v>
      </c>
      <c r="AY26" t="s">
        <v>189</v>
      </c>
      <c r="BD26">
        <v>0</v>
      </c>
      <c r="BQ26" t="str">
        <f>VLOOKUP($AY26,States!$B$4:$AZ$2000,MATCH(AP26,States!$B$3:$AZ$3,FALSE),FALSE)</f>
        <v>Nick Cisler</v>
      </c>
      <c r="BR26" t="str">
        <f>VLOOKUP($BQ26,'Rep Contact info'!$B$3:$D$400,MATCH(BR$1,'Rep Contact info'!$B$2:$D$2,FALSE),FALSE)</f>
        <v>(215) 435-4353</v>
      </c>
      <c r="BS26" t="str">
        <f>VLOOKUP($BQ26,'Rep Contact info'!$B$3:$D$400,MATCH(BS$1,'Rep Contact info'!$B$2:$D$2,FALSE),FALSE)</f>
        <v>ncisler@gmail.com</v>
      </c>
    </row>
    <row r="27" spans="1:71" x14ac:dyDescent="0.35">
      <c r="A27" t="s">
        <v>233</v>
      </c>
      <c r="B27" t="s">
        <v>209</v>
      </c>
      <c r="C27" t="s">
        <v>170</v>
      </c>
      <c r="E27" t="s">
        <v>171</v>
      </c>
      <c r="F27" s="1">
        <v>44026.015972222223</v>
      </c>
      <c r="G27" t="s">
        <v>172</v>
      </c>
      <c r="H27" t="s">
        <v>173</v>
      </c>
      <c r="I27">
        <v>0</v>
      </c>
      <c r="J27">
        <v>0</v>
      </c>
      <c r="K27">
        <v>0</v>
      </c>
      <c r="L27">
        <v>0</v>
      </c>
      <c r="N27">
        <v>0</v>
      </c>
      <c r="O27" t="s">
        <v>174</v>
      </c>
      <c r="P27" s="1">
        <v>44019.426388888889</v>
      </c>
      <c r="Q27">
        <v>1</v>
      </c>
      <c r="R27" t="s">
        <v>234</v>
      </c>
      <c r="S27">
        <v>0</v>
      </c>
      <c r="U27">
        <v>500417</v>
      </c>
      <c r="V27" t="b">
        <v>1</v>
      </c>
      <c r="W27" t="b">
        <v>0</v>
      </c>
      <c r="X27" t="s">
        <v>171</v>
      </c>
      <c r="Y27" t="s">
        <v>211</v>
      </c>
      <c r="Z27" t="s">
        <v>224</v>
      </c>
      <c r="AA27" t="s">
        <v>224</v>
      </c>
      <c r="AD27" t="s">
        <v>225</v>
      </c>
      <c r="AE27" t="s">
        <v>226</v>
      </c>
      <c r="AF27" t="s">
        <v>71</v>
      </c>
      <c r="AG27" t="s">
        <v>183</v>
      </c>
      <c r="AH27">
        <v>16168190052</v>
      </c>
      <c r="AI27" t="s">
        <v>220</v>
      </c>
      <c r="AJ27" t="s">
        <v>221</v>
      </c>
      <c r="AK27" t="s">
        <v>221</v>
      </c>
      <c r="AM27" t="s">
        <v>222</v>
      </c>
      <c r="AN27" t="s">
        <v>49</v>
      </c>
      <c r="AO27" t="s">
        <v>223</v>
      </c>
      <c r="AP27" t="s">
        <v>71</v>
      </c>
      <c r="AQ27" t="s">
        <v>183</v>
      </c>
      <c r="AR27">
        <v>16163222043</v>
      </c>
      <c r="AX27">
        <v>0</v>
      </c>
      <c r="AY27" t="s">
        <v>194</v>
      </c>
      <c r="AZ27" s="2">
        <v>2580000000000</v>
      </c>
      <c r="BB27" t="s">
        <v>186</v>
      </c>
      <c r="BC27" t="s">
        <v>187</v>
      </c>
      <c r="BD27">
        <v>0</v>
      </c>
      <c r="BQ27" t="str">
        <f>VLOOKUP($AY27,States!$B$4:$AZ$2000,MATCH(AP27,States!$B$3:$AZ$3,FALSE),FALSE)</f>
        <v>Nick Cisler</v>
      </c>
      <c r="BR27" t="str">
        <f>VLOOKUP($BQ27,'Rep Contact info'!$B$3:$D$400,MATCH(BR$1,'Rep Contact info'!$B$2:$D$2,FALSE),FALSE)</f>
        <v>(215) 435-4353</v>
      </c>
      <c r="BS27" t="str">
        <f>VLOOKUP($BQ27,'Rep Contact info'!$B$3:$D$400,MATCH(BS$1,'Rep Contact info'!$B$2:$D$2,FALSE),FALSE)</f>
        <v>ncisler@gmail.com</v>
      </c>
    </row>
    <row r="28" spans="1:71" x14ac:dyDescent="0.35">
      <c r="A28" t="s">
        <v>233</v>
      </c>
      <c r="B28" t="s">
        <v>209</v>
      </c>
      <c r="P28" s="1">
        <v>44019.426388888889</v>
      </c>
      <c r="Q28">
        <v>1</v>
      </c>
      <c r="R28" t="s">
        <v>197</v>
      </c>
      <c r="S28">
        <v>0</v>
      </c>
      <c r="U28">
        <v>500414</v>
      </c>
      <c r="V28" t="b">
        <v>1</v>
      </c>
      <c r="W28" t="b">
        <v>0</v>
      </c>
      <c r="X28" t="s">
        <v>171</v>
      </c>
      <c r="Y28" t="s">
        <v>211</v>
      </c>
      <c r="Z28" t="s">
        <v>224</v>
      </c>
      <c r="AA28" t="s">
        <v>224</v>
      </c>
      <c r="AD28" t="s">
        <v>225</v>
      </c>
      <c r="AE28" t="s">
        <v>226</v>
      </c>
      <c r="AF28" t="s">
        <v>71</v>
      </c>
      <c r="AG28" t="s">
        <v>183</v>
      </c>
      <c r="AH28">
        <v>16168190052</v>
      </c>
      <c r="AI28" t="s">
        <v>220</v>
      </c>
      <c r="AJ28" t="s">
        <v>221</v>
      </c>
      <c r="AK28" t="s">
        <v>221</v>
      </c>
      <c r="AM28" t="s">
        <v>222</v>
      </c>
      <c r="AN28" t="s">
        <v>49</v>
      </c>
      <c r="AO28" t="s">
        <v>223</v>
      </c>
      <c r="AP28" t="s">
        <v>71</v>
      </c>
      <c r="AQ28" t="s">
        <v>183</v>
      </c>
      <c r="AR28">
        <v>16163222043</v>
      </c>
      <c r="AY28" t="s">
        <v>194</v>
      </c>
      <c r="BD28">
        <v>0</v>
      </c>
      <c r="BQ28" t="str">
        <f>VLOOKUP($AY28,States!$B$4:$AZ$2000,MATCH(AP28,States!$B$3:$AZ$3,FALSE),FALSE)</f>
        <v>Nick Cisler</v>
      </c>
      <c r="BR28" t="str">
        <f>VLOOKUP($BQ28,'Rep Contact info'!$B$3:$D$400,MATCH(BR$1,'Rep Contact info'!$B$2:$D$2,FALSE),FALSE)</f>
        <v>(215) 435-4353</v>
      </c>
      <c r="BS28" t="str">
        <f>VLOOKUP($BQ28,'Rep Contact info'!$B$3:$D$400,MATCH(BS$1,'Rep Contact info'!$B$2:$D$2,FALSE),FALSE)</f>
        <v>ncisler@gmail.com</v>
      </c>
    </row>
    <row r="29" spans="1:71" x14ac:dyDescent="0.35">
      <c r="A29" t="s">
        <v>233</v>
      </c>
      <c r="B29" t="s">
        <v>209</v>
      </c>
      <c r="P29" s="1">
        <v>44019.426388888889</v>
      </c>
      <c r="Q29">
        <v>1</v>
      </c>
      <c r="R29" t="s">
        <v>207</v>
      </c>
      <c r="S29">
        <v>0</v>
      </c>
      <c r="U29">
        <v>100241</v>
      </c>
      <c r="V29" t="b">
        <v>1</v>
      </c>
      <c r="W29" t="b">
        <v>0</v>
      </c>
      <c r="X29" t="s">
        <v>171</v>
      </c>
      <c r="Y29" t="s">
        <v>211</v>
      </c>
      <c r="Z29" t="s">
        <v>224</v>
      </c>
      <c r="AA29" t="s">
        <v>224</v>
      </c>
      <c r="AD29" t="s">
        <v>225</v>
      </c>
      <c r="AE29" t="s">
        <v>226</v>
      </c>
      <c r="AF29" t="s">
        <v>71</v>
      </c>
      <c r="AG29" t="s">
        <v>183</v>
      </c>
      <c r="AH29">
        <v>16168190052</v>
      </c>
      <c r="AI29" t="s">
        <v>220</v>
      </c>
      <c r="AJ29" t="s">
        <v>221</v>
      </c>
      <c r="AK29" t="s">
        <v>221</v>
      </c>
      <c r="AM29" t="s">
        <v>222</v>
      </c>
      <c r="AN29" t="s">
        <v>49</v>
      </c>
      <c r="AO29" t="s">
        <v>223</v>
      </c>
      <c r="AP29" t="s">
        <v>71</v>
      </c>
      <c r="AQ29" t="s">
        <v>183</v>
      </c>
      <c r="AR29">
        <v>16163222043</v>
      </c>
      <c r="AY29" t="s">
        <v>189</v>
      </c>
      <c r="BD29">
        <v>0</v>
      </c>
      <c r="BQ29" t="str">
        <f>VLOOKUP($AY29,States!$B$4:$AZ$2000,MATCH(AP29,States!$B$3:$AZ$3,FALSE),FALSE)</f>
        <v>Nick Cisler</v>
      </c>
      <c r="BR29" t="str">
        <f>VLOOKUP($BQ29,'Rep Contact info'!$B$3:$D$400,MATCH(BR$1,'Rep Contact info'!$B$2:$D$2,FALSE),FALSE)</f>
        <v>(215) 435-4353</v>
      </c>
      <c r="BS29" t="str">
        <f>VLOOKUP($BQ29,'Rep Contact info'!$B$3:$D$400,MATCH(BS$1,'Rep Contact info'!$B$2:$D$2,FALSE),FALSE)</f>
        <v>ncisler@gmail.com</v>
      </c>
    </row>
    <row r="30" spans="1:71" x14ac:dyDescent="0.35">
      <c r="A30" t="s">
        <v>235</v>
      </c>
      <c r="B30" t="s">
        <v>209</v>
      </c>
      <c r="C30" t="s">
        <v>170</v>
      </c>
      <c r="E30" t="s">
        <v>171</v>
      </c>
      <c r="F30" s="1">
        <v>44013.583333333336</v>
      </c>
      <c r="G30" t="s">
        <v>172</v>
      </c>
      <c r="H30" t="s">
        <v>173</v>
      </c>
      <c r="I30">
        <v>0</v>
      </c>
      <c r="J30">
        <v>0</v>
      </c>
      <c r="K30">
        <v>0</v>
      </c>
      <c r="L30">
        <v>0</v>
      </c>
      <c r="N30">
        <v>0</v>
      </c>
      <c r="O30" t="s">
        <v>174</v>
      </c>
      <c r="P30" s="1">
        <v>44013.572916666664</v>
      </c>
      <c r="Q30">
        <v>1</v>
      </c>
      <c r="R30" t="s">
        <v>191</v>
      </c>
      <c r="S30">
        <v>0</v>
      </c>
      <c r="U30">
        <v>100189</v>
      </c>
      <c r="V30" t="b">
        <v>1</v>
      </c>
      <c r="W30" t="b">
        <v>0</v>
      </c>
      <c r="X30" t="s">
        <v>171</v>
      </c>
      <c r="Y30" t="s">
        <v>211</v>
      </c>
      <c r="Z30" t="s">
        <v>224</v>
      </c>
      <c r="AA30" t="s">
        <v>224</v>
      </c>
      <c r="AD30" t="s">
        <v>225</v>
      </c>
      <c r="AE30" t="s">
        <v>226</v>
      </c>
      <c r="AF30" t="s">
        <v>71</v>
      </c>
      <c r="AG30" t="s">
        <v>183</v>
      </c>
      <c r="AH30">
        <v>16168190052</v>
      </c>
      <c r="AI30" t="s">
        <v>211</v>
      </c>
      <c r="AJ30" t="s">
        <v>224</v>
      </c>
      <c r="AK30" t="s">
        <v>224</v>
      </c>
      <c r="AN30" t="s">
        <v>225</v>
      </c>
      <c r="AO30" t="s">
        <v>226</v>
      </c>
      <c r="AP30" t="s">
        <v>71</v>
      </c>
      <c r="AQ30" t="s">
        <v>183</v>
      </c>
      <c r="AR30">
        <v>16168190052</v>
      </c>
      <c r="AX30">
        <v>0</v>
      </c>
      <c r="AY30" t="s">
        <v>189</v>
      </c>
      <c r="AZ30" s="2">
        <v>2570000000000</v>
      </c>
      <c r="BB30" t="s">
        <v>186</v>
      </c>
      <c r="BC30" t="s">
        <v>187</v>
      </c>
      <c r="BD30">
        <v>0</v>
      </c>
      <c r="BQ30" t="str">
        <f>VLOOKUP($AY30,States!$B$4:$AZ$2000,MATCH(AP30,States!$B$3:$AZ$3,FALSE),FALSE)</f>
        <v>Nick Cisler</v>
      </c>
      <c r="BR30" t="str">
        <f>VLOOKUP($BQ30,'Rep Contact info'!$B$3:$D$400,MATCH(BR$1,'Rep Contact info'!$B$2:$D$2,FALSE),FALSE)</f>
        <v>(215) 435-4353</v>
      </c>
      <c r="BS30" t="str">
        <f>VLOOKUP($BQ30,'Rep Contact info'!$B$3:$D$400,MATCH(BS$1,'Rep Contact info'!$B$2:$D$2,FALSE),FALSE)</f>
        <v>ncisler@gmail.com</v>
      </c>
    </row>
    <row r="31" spans="1:71" x14ac:dyDescent="0.35">
      <c r="A31" t="s">
        <v>236</v>
      </c>
      <c r="B31" t="s">
        <v>209</v>
      </c>
      <c r="C31" t="s">
        <v>170</v>
      </c>
      <c r="E31" t="s">
        <v>171</v>
      </c>
      <c r="F31" s="1">
        <v>44013.583333333336</v>
      </c>
      <c r="G31" t="s">
        <v>172</v>
      </c>
      <c r="H31" t="s">
        <v>173</v>
      </c>
      <c r="I31">
        <v>0</v>
      </c>
      <c r="J31">
        <v>0</v>
      </c>
      <c r="K31">
        <v>0</v>
      </c>
      <c r="L31">
        <v>0</v>
      </c>
      <c r="N31">
        <v>0</v>
      </c>
      <c r="O31" t="s">
        <v>174</v>
      </c>
      <c r="P31" s="1">
        <v>44006.573611111111</v>
      </c>
      <c r="Q31">
        <v>1</v>
      </c>
      <c r="R31" t="s">
        <v>210</v>
      </c>
      <c r="S31">
        <v>0</v>
      </c>
      <c r="U31">
        <v>100385</v>
      </c>
      <c r="V31" t="b">
        <v>1</v>
      </c>
      <c r="W31" t="b">
        <v>0</v>
      </c>
      <c r="X31" t="s">
        <v>171</v>
      </c>
      <c r="Y31" t="s">
        <v>211</v>
      </c>
      <c r="Z31" t="s">
        <v>212</v>
      </c>
      <c r="AA31" t="s">
        <v>212</v>
      </c>
      <c r="AC31" t="s">
        <v>237</v>
      </c>
      <c r="AD31" t="s">
        <v>214</v>
      </c>
      <c r="AE31" t="s">
        <v>215</v>
      </c>
      <c r="AF31" t="s">
        <v>71</v>
      </c>
      <c r="AG31" t="s">
        <v>183</v>
      </c>
      <c r="AH31">
        <v>16168190052</v>
      </c>
      <c r="AI31" t="s">
        <v>211</v>
      </c>
      <c r="AJ31" t="s">
        <v>224</v>
      </c>
      <c r="AK31" t="s">
        <v>224</v>
      </c>
      <c r="AN31" t="s">
        <v>225</v>
      </c>
      <c r="AO31" t="s">
        <v>226</v>
      </c>
      <c r="AP31" t="s">
        <v>71</v>
      </c>
      <c r="AQ31" t="s">
        <v>183</v>
      </c>
      <c r="AR31">
        <v>16168190052</v>
      </c>
      <c r="AX31">
        <v>0</v>
      </c>
      <c r="AY31" t="s">
        <v>189</v>
      </c>
      <c r="AZ31" s="2">
        <v>2560000000000</v>
      </c>
      <c r="BB31" t="s">
        <v>186</v>
      </c>
      <c r="BC31" t="s">
        <v>187</v>
      </c>
      <c r="BD31">
        <v>0</v>
      </c>
      <c r="BQ31" t="str">
        <f>VLOOKUP($AY31,States!$B$4:$AZ$2000,MATCH(AP31,States!$B$3:$AZ$3,FALSE),FALSE)</f>
        <v>Nick Cisler</v>
      </c>
      <c r="BR31" t="str">
        <f>VLOOKUP($BQ31,'Rep Contact info'!$B$3:$D$400,MATCH(BR$1,'Rep Contact info'!$B$2:$D$2,FALSE),FALSE)</f>
        <v>(215) 435-4353</v>
      </c>
      <c r="BS31" t="str">
        <f>VLOOKUP($BQ31,'Rep Contact info'!$B$3:$D$400,MATCH(BS$1,'Rep Contact info'!$B$2:$D$2,FALSE),FALSE)</f>
        <v>ncisler@gmail.com</v>
      </c>
    </row>
    <row r="32" spans="1:71" x14ac:dyDescent="0.35">
      <c r="A32" t="s">
        <v>238</v>
      </c>
      <c r="B32" t="s">
        <v>209</v>
      </c>
      <c r="C32" t="s">
        <v>170</v>
      </c>
      <c r="E32" t="s">
        <v>171</v>
      </c>
      <c r="F32" s="1">
        <v>44013.583333333336</v>
      </c>
      <c r="G32" t="s">
        <v>172</v>
      </c>
      <c r="H32" t="s">
        <v>173</v>
      </c>
      <c r="I32">
        <v>0</v>
      </c>
      <c r="J32">
        <v>0</v>
      </c>
      <c r="K32">
        <v>0</v>
      </c>
      <c r="L32">
        <v>0</v>
      </c>
      <c r="N32">
        <v>0</v>
      </c>
      <c r="O32" t="s">
        <v>174</v>
      </c>
      <c r="P32" s="1">
        <v>43997.413888888892</v>
      </c>
      <c r="Q32">
        <v>1</v>
      </c>
      <c r="R32" t="s">
        <v>239</v>
      </c>
      <c r="S32">
        <v>0</v>
      </c>
      <c r="U32">
        <v>12040</v>
      </c>
      <c r="V32" t="b">
        <v>1</v>
      </c>
      <c r="W32" t="b">
        <v>0</v>
      </c>
      <c r="X32" t="s">
        <v>171</v>
      </c>
      <c r="Y32" t="s">
        <v>211</v>
      </c>
      <c r="Z32" t="s">
        <v>212</v>
      </c>
      <c r="AA32" t="s">
        <v>212</v>
      </c>
      <c r="AC32" t="s">
        <v>237</v>
      </c>
      <c r="AD32" t="s">
        <v>214</v>
      </c>
      <c r="AE32" t="s">
        <v>215</v>
      </c>
      <c r="AF32" t="s">
        <v>71</v>
      </c>
      <c r="AG32" t="s">
        <v>183</v>
      </c>
      <c r="AH32">
        <v>16168190052</v>
      </c>
      <c r="AI32" t="s">
        <v>211</v>
      </c>
      <c r="AJ32" t="s">
        <v>212</v>
      </c>
      <c r="AK32" t="s">
        <v>212</v>
      </c>
      <c r="AM32" t="s">
        <v>237</v>
      </c>
      <c r="AN32" t="s">
        <v>214</v>
      </c>
      <c r="AO32" t="s">
        <v>215</v>
      </c>
      <c r="AP32" t="s">
        <v>71</v>
      </c>
      <c r="AQ32" t="s">
        <v>183</v>
      </c>
      <c r="AR32">
        <v>16168190052</v>
      </c>
      <c r="AX32">
        <v>0</v>
      </c>
      <c r="AY32" t="s">
        <v>194</v>
      </c>
      <c r="AZ32" s="2">
        <v>2530000000000</v>
      </c>
      <c r="BB32" t="s">
        <v>186</v>
      </c>
      <c r="BC32" t="s">
        <v>187</v>
      </c>
      <c r="BD32">
        <v>0</v>
      </c>
      <c r="BQ32" t="str">
        <f>VLOOKUP($AY32,States!$B$4:$AZ$2000,MATCH(AP32,States!$B$3:$AZ$3,FALSE),FALSE)</f>
        <v>Nick Cisler</v>
      </c>
      <c r="BR32" t="str">
        <f>VLOOKUP($BQ32,'Rep Contact info'!$B$3:$D$400,MATCH(BR$1,'Rep Contact info'!$B$2:$D$2,FALSE),FALSE)</f>
        <v>(215) 435-4353</v>
      </c>
      <c r="BS32" t="str">
        <f>VLOOKUP($BQ32,'Rep Contact info'!$B$3:$D$400,MATCH(BS$1,'Rep Contact info'!$B$2:$D$2,FALSE),FALSE)</f>
        <v>ncisler@gmail.com</v>
      </c>
    </row>
    <row r="33" spans="1:71" x14ac:dyDescent="0.35">
      <c r="A33" t="s">
        <v>238</v>
      </c>
      <c r="B33" t="s">
        <v>209</v>
      </c>
      <c r="P33" s="1">
        <v>43997.413888888892</v>
      </c>
      <c r="Q33">
        <v>1</v>
      </c>
      <c r="R33" t="s">
        <v>240</v>
      </c>
      <c r="S33">
        <v>0</v>
      </c>
      <c r="U33">
        <v>12043</v>
      </c>
      <c r="V33" t="b">
        <v>1</v>
      </c>
      <c r="W33" t="b">
        <v>0</v>
      </c>
      <c r="X33" t="s">
        <v>171</v>
      </c>
      <c r="Y33" t="s">
        <v>211</v>
      </c>
      <c r="Z33" t="s">
        <v>212</v>
      </c>
      <c r="AA33" t="s">
        <v>212</v>
      </c>
      <c r="AC33" t="s">
        <v>237</v>
      </c>
      <c r="AD33" t="s">
        <v>214</v>
      </c>
      <c r="AE33" t="s">
        <v>215</v>
      </c>
      <c r="AF33" t="s">
        <v>71</v>
      </c>
      <c r="AG33" t="s">
        <v>183</v>
      </c>
      <c r="AH33">
        <v>16168190052</v>
      </c>
      <c r="AI33" t="s">
        <v>211</v>
      </c>
      <c r="AJ33" t="s">
        <v>212</v>
      </c>
      <c r="AK33" t="s">
        <v>212</v>
      </c>
      <c r="AM33" t="s">
        <v>237</v>
      </c>
      <c r="AN33" t="s">
        <v>214</v>
      </c>
      <c r="AO33" t="s">
        <v>215</v>
      </c>
      <c r="AP33" t="s">
        <v>71</v>
      </c>
      <c r="AQ33" t="s">
        <v>183</v>
      </c>
      <c r="AR33">
        <v>16168190052</v>
      </c>
      <c r="AY33" t="s">
        <v>194</v>
      </c>
      <c r="BD33">
        <v>0</v>
      </c>
      <c r="BQ33" t="str">
        <f>VLOOKUP($AY33,States!$B$4:$AZ$2000,MATCH(AP33,States!$B$3:$AZ$3,FALSE),FALSE)</f>
        <v>Nick Cisler</v>
      </c>
      <c r="BR33" t="str">
        <f>VLOOKUP($BQ33,'Rep Contact info'!$B$3:$D$400,MATCH(BR$1,'Rep Contact info'!$B$2:$D$2,FALSE),FALSE)</f>
        <v>(215) 435-4353</v>
      </c>
      <c r="BS33" t="str">
        <f>VLOOKUP($BQ33,'Rep Contact info'!$B$3:$D$400,MATCH(BS$1,'Rep Contact info'!$B$2:$D$2,FALSE),FALSE)</f>
        <v>ncisler@gmail.com</v>
      </c>
    </row>
    <row r="34" spans="1:71" x14ac:dyDescent="0.35">
      <c r="A34" t="s">
        <v>241</v>
      </c>
      <c r="B34" t="s">
        <v>242</v>
      </c>
      <c r="C34" t="s">
        <v>170</v>
      </c>
      <c r="E34" t="s">
        <v>171</v>
      </c>
      <c r="F34" s="1">
        <v>44013.583333333336</v>
      </c>
      <c r="G34" t="s">
        <v>172</v>
      </c>
      <c r="H34" t="s">
        <v>173</v>
      </c>
      <c r="I34">
        <v>0</v>
      </c>
      <c r="J34">
        <v>0</v>
      </c>
      <c r="K34">
        <v>0</v>
      </c>
      <c r="L34">
        <v>0</v>
      </c>
      <c r="N34">
        <v>0</v>
      </c>
      <c r="O34" t="s">
        <v>174</v>
      </c>
      <c r="P34" s="1">
        <v>43997.408333333333</v>
      </c>
      <c r="Q34">
        <v>1</v>
      </c>
      <c r="R34" t="s">
        <v>243</v>
      </c>
      <c r="S34">
        <v>0</v>
      </c>
      <c r="U34">
        <v>100222</v>
      </c>
      <c r="V34" t="b">
        <v>1</v>
      </c>
      <c r="W34" t="b">
        <v>0</v>
      </c>
      <c r="X34" t="s">
        <v>171</v>
      </c>
      <c r="Y34" t="s">
        <v>244</v>
      </c>
      <c r="Z34" t="s">
        <v>245</v>
      </c>
      <c r="AA34" t="s">
        <v>245</v>
      </c>
      <c r="AC34" t="s">
        <v>246</v>
      </c>
      <c r="AD34" t="s">
        <v>247</v>
      </c>
      <c r="AE34" t="s">
        <v>248</v>
      </c>
      <c r="AF34" t="s">
        <v>62</v>
      </c>
      <c r="AG34" t="s">
        <v>183</v>
      </c>
      <c r="AH34" t="s">
        <v>249</v>
      </c>
      <c r="AI34" t="s">
        <v>244</v>
      </c>
      <c r="AJ34" t="s">
        <v>245</v>
      </c>
      <c r="AK34" t="s">
        <v>245</v>
      </c>
      <c r="AM34" t="s">
        <v>246</v>
      </c>
      <c r="AN34" t="s">
        <v>247</v>
      </c>
      <c r="AO34" t="s">
        <v>248</v>
      </c>
      <c r="AP34" t="s">
        <v>62</v>
      </c>
      <c r="AQ34" t="s">
        <v>183</v>
      </c>
      <c r="AR34" t="s">
        <v>249</v>
      </c>
      <c r="AX34">
        <v>0</v>
      </c>
      <c r="AY34" t="s">
        <v>189</v>
      </c>
      <c r="AZ34" s="2">
        <v>2530000000000</v>
      </c>
      <c r="BB34" t="s">
        <v>186</v>
      </c>
      <c r="BC34" t="s">
        <v>187</v>
      </c>
      <c r="BD34">
        <v>0</v>
      </c>
      <c r="BQ34" t="str">
        <f>VLOOKUP($AY34,States!$B$4:$AZ$2000,MATCH(AP34,States!$B$3:$AZ$3,FALSE),FALSE)</f>
        <v>Greg Ambrogi</v>
      </c>
      <c r="BR34" t="str">
        <f>VLOOKUP($BQ34,'Rep Contact info'!$B$3:$D$400,MATCH(BR$1,'Rep Contact info'!$B$2:$D$2,FALSE),FALSE)</f>
        <v>(610) 420-3842</v>
      </c>
      <c r="BS34" t="str">
        <f>VLOOKUP($BQ34,'Rep Contact info'!$B$3:$D$400,MATCH(BS$1,'Rep Contact info'!$B$2:$D$2,FALSE),FALSE)</f>
        <v>grambrog24@gmail.com</v>
      </c>
    </row>
    <row r="35" spans="1:71" x14ac:dyDescent="0.35">
      <c r="A35" t="s">
        <v>241</v>
      </c>
      <c r="B35" t="s">
        <v>242</v>
      </c>
      <c r="P35" s="1">
        <v>43997.408333333333</v>
      </c>
      <c r="Q35">
        <v>1</v>
      </c>
      <c r="R35" t="s">
        <v>250</v>
      </c>
      <c r="S35">
        <v>0</v>
      </c>
      <c r="U35">
        <v>100</v>
      </c>
      <c r="V35" t="b">
        <v>1</v>
      </c>
      <c r="W35" t="b">
        <v>0</v>
      </c>
      <c r="X35" t="s">
        <v>171</v>
      </c>
      <c r="Y35" t="s">
        <v>244</v>
      </c>
      <c r="Z35" t="s">
        <v>245</v>
      </c>
      <c r="AA35" t="s">
        <v>245</v>
      </c>
      <c r="AC35" t="s">
        <v>246</v>
      </c>
      <c r="AD35" t="s">
        <v>247</v>
      </c>
      <c r="AE35" t="s">
        <v>248</v>
      </c>
      <c r="AF35" t="s">
        <v>62</v>
      </c>
      <c r="AG35" t="s">
        <v>183</v>
      </c>
      <c r="AH35" t="s">
        <v>249</v>
      </c>
      <c r="AI35" t="s">
        <v>244</v>
      </c>
      <c r="AJ35" t="s">
        <v>245</v>
      </c>
      <c r="AK35" t="s">
        <v>245</v>
      </c>
      <c r="AM35" t="s">
        <v>246</v>
      </c>
      <c r="AN35" t="s">
        <v>247</v>
      </c>
      <c r="AO35" t="s">
        <v>248</v>
      </c>
      <c r="AP35" t="s">
        <v>62</v>
      </c>
      <c r="AQ35" t="s">
        <v>183</v>
      </c>
      <c r="AR35" t="s">
        <v>249</v>
      </c>
      <c r="AY35" t="s">
        <v>189</v>
      </c>
      <c r="BD35">
        <v>0</v>
      </c>
      <c r="BQ35" t="str">
        <f>VLOOKUP($AY35,States!$B$4:$AZ$2000,MATCH(AP35,States!$B$3:$AZ$3,FALSE),FALSE)</f>
        <v>Greg Ambrogi</v>
      </c>
      <c r="BR35" t="str">
        <f>VLOOKUP($BQ35,'Rep Contact info'!$B$3:$D$400,MATCH(BR$1,'Rep Contact info'!$B$2:$D$2,FALSE),FALSE)</f>
        <v>(610) 420-3842</v>
      </c>
      <c r="BS35" t="str">
        <f>VLOOKUP($BQ35,'Rep Contact info'!$B$3:$D$400,MATCH(BS$1,'Rep Contact info'!$B$2:$D$2,FALSE),FALSE)</f>
        <v>grambrog24@gmail.com</v>
      </c>
    </row>
    <row r="36" spans="1:71" x14ac:dyDescent="0.35">
      <c r="A36" t="s">
        <v>241</v>
      </c>
      <c r="B36" t="s">
        <v>242</v>
      </c>
      <c r="P36" s="1">
        <v>43997.408333333333</v>
      </c>
      <c r="Q36">
        <v>1</v>
      </c>
      <c r="R36" t="s">
        <v>251</v>
      </c>
      <c r="S36">
        <v>0</v>
      </c>
      <c r="U36">
        <v>100176</v>
      </c>
      <c r="V36" t="b">
        <v>1</v>
      </c>
      <c r="W36" t="b">
        <v>0</v>
      </c>
      <c r="X36" t="s">
        <v>171</v>
      </c>
      <c r="Y36" t="s">
        <v>244</v>
      </c>
      <c r="Z36" t="s">
        <v>245</v>
      </c>
      <c r="AA36" t="s">
        <v>245</v>
      </c>
      <c r="AC36" t="s">
        <v>246</v>
      </c>
      <c r="AD36" t="s">
        <v>247</v>
      </c>
      <c r="AE36" t="s">
        <v>248</v>
      </c>
      <c r="AF36" t="s">
        <v>62</v>
      </c>
      <c r="AG36" t="s">
        <v>183</v>
      </c>
      <c r="AH36" t="s">
        <v>249</v>
      </c>
      <c r="AI36" t="s">
        <v>244</v>
      </c>
      <c r="AJ36" t="s">
        <v>245</v>
      </c>
      <c r="AK36" t="s">
        <v>245</v>
      </c>
      <c r="AM36" t="s">
        <v>246</v>
      </c>
      <c r="AN36" t="s">
        <v>247</v>
      </c>
      <c r="AO36" t="s">
        <v>248</v>
      </c>
      <c r="AP36" t="s">
        <v>62</v>
      </c>
      <c r="AQ36" t="s">
        <v>183</v>
      </c>
      <c r="AR36" t="s">
        <v>249</v>
      </c>
      <c r="AY36" t="s">
        <v>189</v>
      </c>
      <c r="BD36">
        <v>0</v>
      </c>
      <c r="BQ36" t="str">
        <f>VLOOKUP($AY36,States!$B$4:$AZ$2000,MATCH(AP36,States!$B$3:$AZ$3,FALSE),FALSE)</f>
        <v>Greg Ambrogi</v>
      </c>
      <c r="BR36" t="str">
        <f>VLOOKUP($BQ36,'Rep Contact info'!$B$3:$D$400,MATCH(BR$1,'Rep Contact info'!$B$2:$D$2,FALSE),FALSE)</f>
        <v>(610) 420-3842</v>
      </c>
      <c r="BS36" t="str">
        <f>VLOOKUP($BQ36,'Rep Contact info'!$B$3:$D$400,MATCH(BS$1,'Rep Contact info'!$B$2:$D$2,FALSE),FALSE)</f>
        <v>grambrog24@gmail.com</v>
      </c>
    </row>
    <row r="37" spans="1:71" x14ac:dyDescent="0.35">
      <c r="A37" t="s">
        <v>252</v>
      </c>
      <c r="B37" t="s">
        <v>253</v>
      </c>
      <c r="C37" t="s">
        <v>170</v>
      </c>
      <c r="E37" t="s">
        <v>171</v>
      </c>
      <c r="F37" s="1">
        <v>44013.583333333336</v>
      </c>
      <c r="G37" t="s">
        <v>172</v>
      </c>
      <c r="H37" t="s">
        <v>173</v>
      </c>
      <c r="I37">
        <v>0</v>
      </c>
      <c r="J37">
        <v>0</v>
      </c>
      <c r="K37">
        <v>0</v>
      </c>
      <c r="L37">
        <v>0</v>
      </c>
      <c r="N37">
        <v>0</v>
      </c>
      <c r="O37" t="s">
        <v>174</v>
      </c>
      <c r="P37" s="1">
        <v>43985.711111111108</v>
      </c>
      <c r="Q37">
        <v>1</v>
      </c>
      <c r="R37" t="s">
        <v>254</v>
      </c>
      <c r="S37">
        <v>0</v>
      </c>
      <c r="U37">
        <v>100304</v>
      </c>
      <c r="V37" t="b">
        <v>1</v>
      </c>
      <c r="W37" t="b">
        <v>0</v>
      </c>
      <c r="X37" t="s">
        <v>171</v>
      </c>
      <c r="Y37" t="s">
        <v>255</v>
      </c>
      <c r="Z37" t="s">
        <v>256</v>
      </c>
      <c r="AA37" t="s">
        <v>256</v>
      </c>
      <c r="AD37" t="s">
        <v>257</v>
      </c>
      <c r="AE37" t="s">
        <v>258</v>
      </c>
      <c r="AF37" t="s">
        <v>87</v>
      </c>
      <c r="AG37" t="s">
        <v>183</v>
      </c>
      <c r="AI37" t="s">
        <v>255</v>
      </c>
      <c r="AJ37" t="s">
        <v>256</v>
      </c>
      <c r="AK37" t="s">
        <v>256</v>
      </c>
      <c r="AN37" t="s">
        <v>257</v>
      </c>
      <c r="AO37" t="s">
        <v>258</v>
      </c>
      <c r="AP37" t="s">
        <v>87</v>
      </c>
      <c r="AQ37" t="s">
        <v>183</v>
      </c>
      <c r="AR37" t="s">
        <v>259</v>
      </c>
      <c r="AX37">
        <v>0</v>
      </c>
      <c r="AY37" t="s">
        <v>189</v>
      </c>
      <c r="AZ37" s="2">
        <v>2500000000000</v>
      </c>
      <c r="BB37" t="s">
        <v>186</v>
      </c>
      <c r="BC37" t="s">
        <v>187</v>
      </c>
      <c r="BD37">
        <v>0</v>
      </c>
      <c r="BQ37" t="str">
        <f>VLOOKUP($AY37,States!$B$4:$AZ$2000,MATCH(AP37,States!$B$3:$AZ$3,FALSE),FALSE)</f>
        <v>Greg Ambrogi</v>
      </c>
      <c r="BR37" t="str">
        <f>VLOOKUP($BQ37,'Rep Contact info'!$B$3:$D$400,MATCH(BR$1,'Rep Contact info'!$B$2:$D$2,FALSE),FALSE)</f>
        <v>(610) 420-3842</v>
      </c>
      <c r="BS37" t="str">
        <f>VLOOKUP($BQ37,'Rep Contact info'!$B$3:$D$400,MATCH(BS$1,'Rep Contact info'!$B$2:$D$2,FALSE),FALSE)</f>
        <v>grambrog24@gmail.com</v>
      </c>
    </row>
    <row r="38" spans="1:71" x14ac:dyDescent="0.35">
      <c r="A38" t="s">
        <v>260</v>
      </c>
      <c r="B38" t="s">
        <v>261</v>
      </c>
      <c r="C38" t="s">
        <v>170</v>
      </c>
      <c r="E38" t="s">
        <v>171</v>
      </c>
      <c r="F38" s="1">
        <v>43984.611805555556</v>
      </c>
      <c r="G38" t="s">
        <v>172</v>
      </c>
      <c r="H38" t="s">
        <v>173</v>
      </c>
      <c r="I38">
        <v>0</v>
      </c>
      <c r="J38">
        <v>0</v>
      </c>
      <c r="K38">
        <v>0</v>
      </c>
      <c r="L38">
        <v>0</v>
      </c>
      <c r="N38">
        <v>0</v>
      </c>
      <c r="O38" t="s">
        <v>174</v>
      </c>
      <c r="P38" s="1">
        <v>43984.609027777777</v>
      </c>
      <c r="Q38">
        <v>1</v>
      </c>
      <c r="R38" t="s">
        <v>262</v>
      </c>
      <c r="S38">
        <v>0</v>
      </c>
      <c r="U38">
        <v>100216</v>
      </c>
      <c r="V38" t="b">
        <v>1</v>
      </c>
      <c r="W38" t="b">
        <v>0</v>
      </c>
      <c r="X38" t="s">
        <v>171</v>
      </c>
      <c r="Y38" t="s">
        <v>263</v>
      </c>
      <c r="Z38" t="s">
        <v>264</v>
      </c>
      <c r="AA38" t="s">
        <v>264</v>
      </c>
      <c r="AC38" t="s">
        <v>265</v>
      </c>
      <c r="AD38" t="s">
        <v>266</v>
      </c>
      <c r="AE38" t="s">
        <v>267</v>
      </c>
      <c r="AF38" t="s">
        <v>71</v>
      </c>
      <c r="AG38" t="s">
        <v>183</v>
      </c>
      <c r="AH38" t="s">
        <v>268</v>
      </c>
      <c r="AI38" t="s">
        <v>263</v>
      </c>
      <c r="AJ38" t="s">
        <v>264</v>
      </c>
      <c r="AK38" t="s">
        <v>264</v>
      </c>
      <c r="AM38" t="s">
        <v>265</v>
      </c>
      <c r="AN38" t="s">
        <v>266</v>
      </c>
      <c r="AO38" t="s">
        <v>267</v>
      </c>
      <c r="AP38" t="s">
        <v>71</v>
      </c>
      <c r="AQ38" t="s">
        <v>183</v>
      </c>
      <c r="AR38" t="s">
        <v>268</v>
      </c>
      <c r="AX38">
        <v>0</v>
      </c>
      <c r="AY38" t="s">
        <v>189</v>
      </c>
      <c r="AZ38" s="2">
        <v>2500000000000</v>
      </c>
      <c r="BB38" t="s">
        <v>186</v>
      </c>
      <c r="BC38" t="s">
        <v>187</v>
      </c>
      <c r="BD38">
        <v>0</v>
      </c>
      <c r="BQ38" t="str">
        <f>VLOOKUP($AY38,States!$B$4:$AZ$2000,MATCH(AP38,States!$B$3:$AZ$3,FALSE),FALSE)</f>
        <v>Nick Cisler</v>
      </c>
      <c r="BR38" t="str">
        <f>VLOOKUP($BQ38,'Rep Contact info'!$B$3:$D$400,MATCH(BR$1,'Rep Contact info'!$B$2:$D$2,FALSE),FALSE)</f>
        <v>(215) 435-4353</v>
      </c>
      <c r="BS38" t="str">
        <f>VLOOKUP($BQ38,'Rep Contact info'!$B$3:$D$400,MATCH(BS$1,'Rep Contact info'!$B$2:$D$2,FALSE),FALSE)</f>
        <v>ncisler@gmail.com</v>
      </c>
    </row>
    <row r="39" spans="1:71" x14ac:dyDescent="0.35">
      <c r="A39" t="s">
        <v>269</v>
      </c>
      <c r="B39" t="s">
        <v>209</v>
      </c>
      <c r="C39" t="s">
        <v>170</v>
      </c>
      <c r="E39" t="s">
        <v>171</v>
      </c>
      <c r="F39" s="1">
        <v>44013.583333333336</v>
      </c>
      <c r="G39" t="s">
        <v>172</v>
      </c>
      <c r="H39" t="s">
        <v>173</v>
      </c>
      <c r="I39">
        <v>0</v>
      </c>
      <c r="J39">
        <v>0</v>
      </c>
      <c r="K39">
        <v>0</v>
      </c>
      <c r="L39">
        <v>0</v>
      </c>
      <c r="N39">
        <v>0</v>
      </c>
      <c r="O39" t="s">
        <v>174</v>
      </c>
      <c r="P39" s="1">
        <v>43984.542361111111</v>
      </c>
      <c r="Q39">
        <v>1</v>
      </c>
      <c r="R39" t="s">
        <v>210</v>
      </c>
      <c r="S39">
        <v>0</v>
      </c>
      <c r="U39">
        <v>100385</v>
      </c>
      <c r="V39" t="b">
        <v>1</v>
      </c>
      <c r="W39" t="b">
        <v>0</v>
      </c>
      <c r="X39" t="s">
        <v>171</v>
      </c>
      <c r="Y39" t="s">
        <v>211</v>
      </c>
      <c r="Z39" t="s">
        <v>230</v>
      </c>
      <c r="AA39" t="s">
        <v>230</v>
      </c>
      <c r="AC39" t="s">
        <v>270</v>
      </c>
      <c r="AD39" t="s">
        <v>225</v>
      </c>
      <c r="AE39" t="s">
        <v>226</v>
      </c>
      <c r="AF39" t="s">
        <v>71</v>
      </c>
      <c r="AG39" t="s">
        <v>183</v>
      </c>
      <c r="AH39" t="s">
        <v>271</v>
      </c>
      <c r="AI39" t="s">
        <v>211</v>
      </c>
      <c r="AJ39" t="s">
        <v>230</v>
      </c>
      <c r="AK39" t="s">
        <v>230</v>
      </c>
      <c r="AM39" t="s">
        <v>270</v>
      </c>
      <c r="AN39" t="s">
        <v>225</v>
      </c>
      <c r="AO39" t="s">
        <v>226</v>
      </c>
      <c r="AP39" t="s">
        <v>71</v>
      </c>
      <c r="AQ39" t="s">
        <v>183</v>
      </c>
      <c r="AR39" t="s">
        <v>271</v>
      </c>
      <c r="AX39">
        <v>0</v>
      </c>
      <c r="AY39" t="s">
        <v>189</v>
      </c>
      <c r="AZ39" s="2">
        <v>2500000000000</v>
      </c>
      <c r="BB39" t="s">
        <v>186</v>
      </c>
      <c r="BC39" t="s">
        <v>187</v>
      </c>
      <c r="BD39">
        <v>0</v>
      </c>
      <c r="BQ39" t="str">
        <f>VLOOKUP($AY39,States!$B$4:$AZ$2000,MATCH(AP39,States!$B$3:$AZ$3,FALSE),FALSE)</f>
        <v>Nick Cisler</v>
      </c>
      <c r="BR39" t="str">
        <f>VLOOKUP($BQ39,'Rep Contact info'!$B$3:$D$400,MATCH(BR$1,'Rep Contact info'!$B$2:$D$2,FALSE),FALSE)</f>
        <v>(215) 435-4353</v>
      </c>
      <c r="BS39" t="str">
        <f>VLOOKUP($BQ39,'Rep Contact info'!$B$3:$D$400,MATCH(BS$1,'Rep Contact info'!$B$2:$D$2,FALSE),FALSE)</f>
        <v>ncisler@gmail.com</v>
      </c>
    </row>
    <row r="40" spans="1:71" x14ac:dyDescent="0.35">
      <c r="A40" t="s">
        <v>272</v>
      </c>
      <c r="B40" t="s">
        <v>273</v>
      </c>
      <c r="C40" t="s">
        <v>170</v>
      </c>
      <c r="E40" t="s">
        <v>171</v>
      </c>
      <c r="F40" s="1">
        <v>43978.620138888888</v>
      </c>
      <c r="G40" t="s">
        <v>172</v>
      </c>
      <c r="H40" t="s">
        <v>173</v>
      </c>
      <c r="I40">
        <v>0</v>
      </c>
      <c r="J40">
        <v>0</v>
      </c>
      <c r="K40">
        <v>0</v>
      </c>
      <c r="L40">
        <v>0</v>
      </c>
      <c r="N40">
        <v>0</v>
      </c>
      <c r="O40" t="s">
        <v>174</v>
      </c>
      <c r="P40" s="1">
        <v>43978.618750000001</v>
      </c>
      <c r="Q40">
        <v>1</v>
      </c>
      <c r="R40" t="s">
        <v>210</v>
      </c>
      <c r="S40">
        <v>0</v>
      </c>
      <c r="U40">
        <v>100385</v>
      </c>
      <c r="V40" t="b">
        <v>1</v>
      </c>
      <c r="W40" t="b">
        <v>0</v>
      </c>
      <c r="X40" t="s">
        <v>171</v>
      </c>
      <c r="Y40" t="s">
        <v>274</v>
      </c>
      <c r="Z40" t="s">
        <v>224</v>
      </c>
      <c r="AA40" t="s">
        <v>224</v>
      </c>
      <c r="AC40" t="s">
        <v>275</v>
      </c>
      <c r="AD40" t="s">
        <v>225</v>
      </c>
      <c r="AE40" t="s">
        <v>226</v>
      </c>
      <c r="AF40" t="s">
        <v>71</v>
      </c>
      <c r="AG40" t="s">
        <v>183</v>
      </c>
      <c r="AH40" t="s">
        <v>276</v>
      </c>
      <c r="AI40" t="s">
        <v>274</v>
      </c>
      <c r="AJ40" t="s">
        <v>224</v>
      </c>
      <c r="AK40" t="s">
        <v>224</v>
      </c>
      <c r="AM40" t="s">
        <v>275</v>
      </c>
      <c r="AN40" t="s">
        <v>225</v>
      </c>
      <c r="AO40" t="s">
        <v>226</v>
      </c>
      <c r="AP40" t="s">
        <v>71</v>
      </c>
      <c r="AQ40" t="s">
        <v>183</v>
      </c>
      <c r="AR40" t="s">
        <v>276</v>
      </c>
      <c r="AX40">
        <v>0</v>
      </c>
      <c r="AY40" t="s">
        <v>189</v>
      </c>
      <c r="AZ40" s="2">
        <v>2490000000000</v>
      </c>
      <c r="BB40" t="s">
        <v>186</v>
      </c>
      <c r="BC40" t="s">
        <v>187</v>
      </c>
      <c r="BD40">
        <v>0</v>
      </c>
      <c r="BQ40" t="str">
        <f>VLOOKUP($AY40,States!$B$4:$AZ$2000,MATCH(AP40,States!$B$3:$AZ$3,FALSE),FALSE)</f>
        <v>Nick Cisler</v>
      </c>
      <c r="BR40" t="str">
        <f>VLOOKUP($BQ40,'Rep Contact info'!$B$3:$D$400,MATCH(BR$1,'Rep Contact info'!$B$2:$D$2,FALSE),FALSE)</f>
        <v>(215) 435-4353</v>
      </c>
      <c r="BS40" t="str">
        <f>VLOOKUP($BQ40,'Rep Contact info'!$B$3:$D$400,MATCH(BS$1,'Rep Contact info'!$B$2:$D$2,FALSE),FALSE)</f>
        <v>ncisler@gmail.com</v>
      </c>
    </row>
    <row r="41" spans="1:71" x14ac:dyDescent="0.35">
      <c r="A41" t="s">
        <v>277</v>
      </c>
      <c r="C41" t="s">
        <v>170</v>
      </c>
      <c r="E41" t="s">
        <v>171</v>
      </c>
      <c r="F41" s="1">
        <v>44013.583333333336</v>
      </c>
      <c r="G41" t="s">
        <v>172</v>
      </c>
      <c r="H41" t="s">
        <v>173</v>
      </c>
      <c r="I41">
        <v>0</v>
      </c>
      <c r="J41">
        <v>0</v>
      </c>
      <c r="K41">
        <v>0</v>
      </c>
      <c r="L41">
        <v>0</v>
      </c>
      <c r="N41">
        <v>0</v>
      </c>
      <c r="P41" s="1">
        <v>43978.59652777778</v>
      </c>
      <c r="Q41">
        <v>1</v>
      </c>
      <c r="R41" t="s">
        <v>262</v>
      </c>
      <c r="S41">
        <v>0</v>
      </c>
      <c r="U41">
        <v>100216</v>
      </c>
      <c r="V41" t="b">
        <v>1</v>
      </c>
      <c r="W41" t="b">
        <v>0</v>
      </c>
      <c r="X41" t="s">
        <v>171</v>
      </c>
      <c r="Y41" t="s">
        <v>274</v>
      </c>
      <c r="Z41" t="s">
        <v>224</v>
      </c>
      <c r="AA41" t="s">
        <v>224</v>
      </c>
      <c r="AC41" t="s">
        <v>275</v>
      </c>
      <c r="AD41" t="s">
        <v>225</v>
      </c>
      <c r="AE41" t="s">
        <v>226</v>
      </c>
      <c r="AF41" t="s">
        <v>71</v>
      </c>
      <c r="AG41" t="s">
        <v>183</v>
      </c>
      <c r="AH41" t="s">
        <v>276</v>
      </c>
      <c r="AI41" t="s">
        <v>274</v>
      </c>
      <c r="AJ41" t="s">
        <v>224</v>
      </c>
      <c r="AK41" t="s">
        <v>224</v>
      </c>
      <c r="AM41" t="s">
        <v>275</v>
      </c>
      <c r="AN41" t="s">
        <v>225</v>
      </c>
      <c r="AO41" t="s">
        <v>226</v>
      </c>
      <c r="AP41" t="s">
        <v>71</v>
      </c>
      <c r="AQ41" t="s">
        <v>183</v>
      </c>
      <c r="AR41" t="s">
        <v>276</v>
      </c>
      <c r="AX41">
        <v>0</v>
      </c>
      <c r="AY41" t="s">
        <v>189</v>
      </c>
      <c r="AZ41" s="2">
        <v>2490000000000</v>
      </c>
      <c r="BB41" t="s">
        <v>186</v>
      </c>
      <c r="BC41" t="s">
        <v>278</v>
      </c>
      <c r="BD41">
        <v>0</v>
      </c>
      <c r="BQ41" t="str">
        <f>VLOOKUP($AY41,States!$B$4:$AZ$2000,MATCH(AP41,States!$B$3:$AZ$3,FALSE),FALSE)</f>
        <v>Nick Cisler</v>
      </c>
      <c r="BR41" t="str">
        <f>VLOOKUP($BQ41,'Rep Contact info'!$B$3:$D$400,MATCH(BR$1,'Rep Contact info'!$B$2:$D$2,FALSE),FALSE)</f>
        <v>(215) 435-4353</v>
      </c>
      <c r="BS41" t="str">
        <f>VLOOKUP($BQ41,'Rep Contact info'!$B$3:$D$400,MATCH(BS$1,'Rep Contact info'!$B$2:$D$2,FALSE),FALSE)</f>
        <v>ncisler@gmail.com</v>
      </c>
    </row>
  </sheetData>
  <autoFilter ref="A1:BS41" xr:uid="{00000000-0009-0000-0000-000004000000}"/>
  <conditionalFormatting sqref="A2:BS50000">
    <cfRule type="expression" dxfId="2" priority="1">
      <formula>IF($A2="",0,MOD(ROW(),2))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isler">
                <anchor moveWithCells="1" sizeWithCells="1">
                  <from>
                    <xdr:col>71</xdr:col>
                    <xdr:colOff>361950</xdr:colOff>
                    <xdr:row>1</xdr:row>
                    <xdr:rowOff>165100</xdr:rowOff>
                  </from>
                  <to>
                    <xdr:col>73</xdr:col>
                    <xdr:colOff>50800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757C6-C7F2-4760-9EE1-E2EA5213F639}">
  <sheetPr codeName="Sheet6" filterMode="1">
    <tabColor theme="9"/>
  </sheetPr>
  <dimension ref="A1:BS41"/>
  <sheetViews>
    <sheetView showGridLines="0" topLeftCell="AI1" workbookViewId="0">
      <pane ySplit="1" topLeftCell="A2" activePane="bottomLeft" state="frozen"/>
      <selection pane="bottomLeft" activeCell="BQ46" sqref="BQ46"/>
    </sheetView>
  </sheetViews>
  <sheetFormatPr defaultRowHeight="14.5" outlineLevelCol="1" x14ac:dyDescent="0.35"/>
  <cols>
    <col min="2" max="2" width="27.6328125" customWidth="1"/>
    <col min="3" max="5" width="9.1796875" hidden="1" customWidth="1" outlineLevel="1"/>
    <col min="6" max="6" width="14.81640625" hidden="1" customWidth="1" outlineLevel="1"/>
    <col min="7" max="15" width="9.1796875" hidden="1" customWidth="1" outlineLevel="1"/>
    <col min="16" max="16" width="14.81640625" hidden="1" customWidth="1" outlineLevel="1" collapsed="1"/>
    <col min="17" max="17" width="9.1796875" hidden="1" customWidth="1" outlineLevel="1"/>
    <col min="18" max="18" width="22.26953125" bestFit="1" customWidth="1" collapsed="1"/>
    <col min="19" max="24" width="9.1796875" hidden="1" customWidth="1" outlineLevel="1"/>
    <col min="25" max="25" width="9.1796875" hidden="1" customWidth="1" outlineLevel="1" collapsed="1"/>
    <col min="26" max="34" width="9.1796875" hidden="1" customWidth="1" outlineLevel="1"/>
    <col min="35" max="35" width="15.6328125" bestFit="1" customWidth="1" collapsed="1"/>
    <col min="36" max="36" width="25.453125" bestFit="1" customWidth="1"/>
    <col min="44" max="44" width="16.1796875" bestFit="1" customWidth="1"/>
    <col min="46" max="50" width="9.1796875" hidden="1" customWidth="1" outlineLevel="1"/>
    <col min="51" max="51" width="8.7265625" collapsed="1"/>
    <col min="52" max="68" width="9.1796875" hidden="1" customWidth="1" outlineLevel="1"/>
    <col min="69" max="69" width="13.26953125" bestFit="1" customWidth="1" collapsed="1"/>
    <col min="70" max="70" width="14.54296875" bestFit="1" customWidth="1"/>
    <col min="71" max="71" width="22.81640625" bestFit="1" customWidth="1"/>
  </cols>
  <sheetData>
    <row r="1" spans="1:71" x14ac:dyDescent="0.35">
      <c r="A1" t="s">
        <v>100</v>
      </c>
      <c r="B1" s="15" t="s">
        <v>101</v>
      </c>
      <c r="C1" s="15" t="s">
        <v>102</v>
      </c>
      <c r="D1" s="15" t="s">
        <v>103</v>
      </c>
      <c r="E1" s="15" t="s">
        <v>104</v>
      </c>
      <c r="F1" s="15" t="s">
        <v>105</v>
      </c>
      <c r="G1" s="15" t="s">
        <v>106</v>
      </c>
      <c r="H1" s="15" t="s">
        <v>107</v>
      </c>
      <c r="I1" s="15" t="s">
        <v>108</v>
      </c>
      <c r="J1" s="15" t="s">
        <v>109</v>
      </c>
      <c r="K1" s="15" t="s">
        <v>110</v>
      </c>
      <c r="L1" s="15" t="s">
        <v>111</v>
      </c>
      <c r="M1" s="15" t="s">
        <v>112</v>
      </c>
      <c r="N1" s="15" t="s">
        <v>113</v>
      </c>
      <c r="O1" s="15" t="s">
        <v>114</v>
      </c>
      <c r="P1" s="15" t="s">
        <v>115</v>
      </c>
      <c r="Q1" s="15" t="s">
        <v>116</v>
      </c>
      <c r="R1" s="15" t="s">
        <v>117</v>
      </c>
      <c r="S1" s="15" t="s">
        <v>118</v>
      </c>
      <c r="T1" s="15" t="s">
        <v>119</v>
      </c>
      <c r="U1" s="15" t="s">
        <v>120</v>
      </c>
      <c r="V1" s="15" t="s">
        <v>121</v>
      </c>
      <c r="W1" s="15" t="s">
        <v>122</v>
      </c>
      <c r="X1" s="15" t="s">
        <v>123</v>
      </c>
      <c r="Y1" s="15" t="s">
        <v>124</v>
      </c>
      <c r="Z1" s="15" t="s">
        <v>125</v>
      </c>
      <c r="AA1" s="15" t="s">
        <v>126</v>
      </c>
      <c r="AB1" s="15" t="s">
        <v>127</v>
      </c>
      <c r="AC1" s="15" t="s">
        <v>128</v>
      </c>
      <c r="AD1" s="15" t="s">
        <v>129</v>
      </c>
      <c r="AE1" s="15" t="s">
        <v>130</v>
      </c>
      <c r="AF1" s="15" t="s">
        <v>131</v>
      </c>
      <c r="AG1" s="15" t="s">
        <v>132</v>
      </c>
      <c r="AH1" s="15" t="s">
        <v>133</v>
      </c>
      <c r="AI1" s="15" t="s">
        <v>134</v>
      </c>
      <c r="AJ1" s="15" t="s">
        <v>135</v>
      </c>
      <c r="AK1" s="15" t="s">
        <v>136</v>
      </c>
      <c r="AL1" s="15" t="s">
        <v>137</v>
      </c>
      <c r="AM1" s="15" t="s">
        <v>138</v>
      </c>
      <c r="AN1" s="15" t="s">
        <v>139</v>
      </c>
      <c r="AO1" s="15" t="s">
        <v>140</v>
      </c>
      <c r="AP1" s="16" t="s">
        <v>141</v>
      </c>
      <c r="AQ1" s="15" t="s">
        <v>142</v>
      </c>
      <c r="AR1" s="15" t="s">
        <v>143</v>
      </c>
      <c r="AS1" s="15" t="s">
        <v>144</v>
      </c>
      <c r="AT1" s="15" t="s">
        <v>145</v>
      </c>
      <c r="AU1" s="15" t="s">
        <v>146</v>
      </c>
      <c r="AV1" s="15" t="s">
        <v>147</v>
      </c>
      <c r="AW1" s="15" t="s">
        <v>148</v>
      </c>
      <c r="AX1" s="15" t="s">
        <v>149</v>
      </c>
      <c r="AY1" s="16" t="s">
        <v>150</v>
      </c>
      <c r="AZ1" s="15" t="s">
        <v>151</v>
      </c>
      <c r="BA1" s="15" t="s">
        <v>152</v>
      </c>
      <c r="BB1" s="15" t="s">
        <v>153</v>
      </c>
      <c r="BC1" s="15" t="s">
        <v>154</v>
      </c>
      <c r="BD1" s="15" t="s">
        <v>155</v>
      </c>
      <c r="BE1" s="15" t="s">
        <v>156</v>
      </c>
      <c r="BF1" s="15" t="s">
        <v>157</v>
      </c>
      <c r="BG1" s="15" t="s">
        <v>158</v>
      </c>
      <c r="BH1" s="15" t="s">
        <v>159</v>
      </c>
      <c r="BI1" s="15" t="s">
        <v>160</v>
      </c>
      <c r="BJ1" s="15" t="s">
        <v>161</v>
      </c>
      <c r="BK1" s="15" t="s">
        <v>162</v>
      </c>
      <c r="BL1" s="15" t="s">
        <v>163</v>
      </c>
      <c r="BM1" s="15" t="s">
        <v>164</v>
      </c>
      <c r="BN1" s="15" t="s">
        <v>165</v>
      </c>
      <c r="BO1" s="15" t="s">
        <v>166</v>
      </c>
      <c r="BP1" s="15" t="s">
        <v>167</v>
      </c>
      <c r="BQ1" s="21" t="s">
        <v>100</v>
      </c>
      <c r="BR1" s="21" t="s">
        <v>279</v>
      </c>
      <c r="BS1" s="21" t="s">
        <v>101</v>
      </c>
    </row>
    <row r="2" spans="1:71" hidden="1" x14ac:dyDescent="0.35">
      <c r="A2" t="s">
        <v>208</v>
      </c>
      <c r="B2" t="s">
        <v>209</v>
      </c>
      <c r="C2" t="s">
        <v>170</v>
      </c>
      <c r="E2" t="s">
        <v>171</v>
      </c>
      <c r="F2" s="1">
        <v>44032.645138888889</v>
      </c>
      <c r="G2" t="s">
        <v>172</v>
      </c>
      <c r="H2" t="s">
        <v>173</v>
      </c>
      <c r="I2">
        <v>0</v>
      </c>
      <c r="J2">
        <v>0</v>
      </c>
      <c r="K2">
        <v>0</v>
      </c>
      <c r="L2">
        <v>0</v>
      </c>
      <c r="N2">
        <v>0</v>
      </c>
      <c r="O2" t="s">
        <v>174</v>
      </c>
      <c r="P2" s="1">
        <v>44032.638194444444</v>
      </c>
      <c r="Q2">
        <v>1</v>
      </c>
      <c r="R2" t="s">
        <v>210</v>
      </c>
      <c r="S2">
        <v>0</v>
      </c>
      <c r="U2">
        <v>100385</v>
      </c>
      <c r="V2" t="b">
        <v>1</v>
      </c>
      <c r="W2" t="b">
        <v>0</v>
      </c>
      <c r="X2" t="s">
        <v>171</v>
      </c>
      <c r="Y2" t="s">
        <v>211</v>
      </c>
      <c r="Z2" t="s">
        <v>212</v>
      </c>
      <c r="AA2" t="s">
        <v>212</v>
      </c>
      <c r="AC2" t="s">
        <v>213</v>
      </c>
      <c r="AD2" t="s">
        <v>214</v>
      </c>
      <c r="AE2" t="s">
        <v>215</v>
      </c>
      <c r="AF2" t="s">
        <v>71</v>
      </c>
      <c r="AG2" t="s">
        <v>183</v>
      </c>
      <c r="AH2" t="s">
        <v>216</v>
      </c>
      <c r="AI2" t="s">
        <v>211</v>
      </c>
      <c r="AJ2" t="s">
        <v>212</v>
      </c>
      <c r="AK2" t="s">
        <v>212</v>
      </c>
      <c r="AM2" t="s">
        <v>213</v>
      </c>
      <c r="AN2" t="s">
        <v>214</v>
      </c>
      <c r="AO2" t="s">
        <v>215</v>
      </c>
      <c r="AP2" t="s">
        <v>71</v>
      </c>
      <c r="AQ2" t="s">
        <v>183</v>
      </c>
      <c r="AR2" t="s">
        <v>216</v>
      </c>
      <c r="AX2">
        <v>0</v>
      </c>
      <c r="AY2" t="s">
        <v>189</v>
      </c>
      <c r="AZ2" s="2">
        <v>2610000000000</v>
      </c>
      <c r="BB2" t="s">
        <v>186</v>
      </c>
      <c r="BC2" t="s">
        <v>187</v>
      </c>
      <c r="BD2">
        <v>0</v>
      </c>
      <c r="BQ2" t="str">
        <f>VLOOKUP($AY2,States!$B$4:$AZ$2000,MATCH(AP2,States!$B$3:$AZ$3,FALSE),FALSE)</f>
        <v>Nick Cisler</v>
      </c>
      <c r="BR2" t="str">
        <f>VLOOKUP($BQ2,'Rep Contact info'!$B$3:$D$400,MATCH(BR$1,'Rep Contact info'!$B$2:$D$2,FALSE),FALSE)</f>
        <v>(215) 435-4353</v>
      </c>
      <c r="BS2" t="str">
        <f>VLOOKUP($BQ2,'Rep Contact info'!$B$3:$D$400,MATCH(BS$1,'Rep Contact info'!$B$2:$D$2,FALSE),FALSE)</f>
        <v>ncisler@gmail.com</v>
      </c>
    </row>
    <row r="3" spans="1:71" hidden="1" x14ac:dyDescent="0.35">
      <c r="A3" t="s">
        <v>208</v>
      </c>
      <c r="B3" t="s">
        <v>209</v>
      </c>
      <c r="P3" s="1">
        <v>44032.638194444444</v>
      </c>
      <c r="Q3">
        <v>1</v>
      </c>
      <c r="R3" t="s">
        <v>217</v>
      </c>
      <c r="S3">
        <v>0</v>
      </c>
      <c r="U3">
        <v>100364</v>
      </c>
      <c r="V3" t="b">
        <v>1</v>
      </c>
      <c r="W3" t="b">
        <v>0</v>
      </c>
      <c r="X3" t="s">
        <v>171</v>
      </c>
      <c r="Y3" t="s">
        <v>211</v>
      </c>
      <c r="Z3" t="s">
        <v>212</v>
      </c>
      <c r="AA3" t="s">
        <v>212</v>
      </c>
      <c r="AC3" t="s">
        <v>213</v>
      </c>
      <c r="AD3" t="s">
        <v>214</v>
      </c>
      <c r="AE3" t="s">
        <v>215</v>
      </c>
      <c r="AF3" t="s">
        <v>71</v>
      </c>
      <c r="AG3" t="s">
        <v>183</v>
      </c>
      <c r="AH3" t="s">
        <v>216</v>
      </c>
      <c r="AI3" t="s">
        <v>211</v>
      </c>
      <c r="AJ3" t="s">
        <v>212</v>
      </c>
      <c r="AK3" t="s">
        <v>212</v>
      </c>
      <c r="AM3" t="s">
        <v>213</v>
      </c>
      <c r="AN3" t="s">
        <v>214</v>
      </c>
      <c r="AO3" t="s">
        <v>215</v>
      </c>
      <c r="AP3" t="s">
        <v>71</v>
      </c>
      <c r="AQ3" t="s">
        <v>183</v>
      </c>
      <c r="AR3" t="s">
        <v>216</v>
      </c>
      <c r="AY3" t="s">
        <v>189</v>
      </c>
      <c r="BD3">
        <v>0</v>
      </c>
      <c r="BQ3" t="str">
        <f>VLOOKUP($AY3,States!$B$4:$AZ$2000,MATCH(AP3,States!$B$3:$AZ$3,FALSE),FALSE)</f>
        <v>Nick Cisler</v>
      </c>
      <c r="BR3" t="str">
        <f>VLOOKUP($BQ3,'Rep Contact info'!$B$3:$D$400,MATCH(BR$1,'Rep Contact info'!$B$2:$D$2,FALSE),FALSE)</f>
        <v>(215) 435-4353</v>
      </c>
      <c r="BS3" t="str">
        <f>VLOOKUP($BQ3,'Rep Contact info'!$B$3:$D$400,MATCH(BS$1,'Rep Contact info'!$B$2:$D$2,FALSE),FALSE)</f>
        <v>ncisler@gmail.com</v>
      </c>
    </row>
    <row r="4" spans="1:71" hidden="1" x14ac:dyDescent="0.35">
      <c r="A4" t="s">
        <v>218</v>
      </c>
      <c r="B4" t="s">
        <v>209</v>
      </c>
      <c r="C4" t="s">
        <v>170</v>
      </c>
      <c r="E4" t="s">
        <v>171</v>
      </c>
      <c r="F4" s="1">
        <v>44032.583333333336</v>
      </c>
      <c r="G4" t="s">
        <v>172</v>
      </c>
      <c r="H4" t="s">
        <v>173</v>
      </c>
      <c r="I4">
        <v>0</v>
      </c>
      <c r="J4">
        <v>0</v>
      </c>
      <c r="K4">
        <v>0</v>
      </c>
      <c r="L4">
        <v>0</v>
      </c>
      <c r="N4">
        <v>0</v>
      </c>
      <c r="O4" t="s">
        <v>174</v>
      </c>
      <c r="P4" s="1">
        <v>44032.582638888889</v>
      </c>
      <c r="Q4">
        <v>1</v>
      </c>
      <c r="R4" t="s">
        <v>219</v>
      </c>
      <c r="S4">
        <v>0</v>
      </c>
      <c r="U4">
        <v>100249</v>
      </c>
      <c r="V4" t="b">
        <v>1</v>
      </c>
      <c r="W4" t="b">
        <v>0</v>
      </c>
      <c r="X4" t="s">
        <v>171</v>
      </c>
      <c r="Y4" t="s">
        <v>220</v>
      </c>
      <c r="Z4" t="s">
        <v>221</v>
      </c>
      <c r="AA4" t="s">
        <v>221</v>
      </c>
      <c r="AC4" t="s">
        <v>222</v>
      </c>
      <c r="AD4" t="s">
        <v>49</v>
      </c>
      <c r="AE4" t="s">
        <v>223</v>
      </c>
      <c r="AF4" t="s">
        <v>71</v>
      </c>
      <c r="AG4" t="s">
        <v>183</v>
      </c>
      <c r="AH4">
        <v>16163222043</v>
      </c>
      <c r="AI4" t="s">
        <v>211</v>
      </c>
      <c r="AJ4" t="s">
        <v>224</v>
      </c>
      <c r="AK4" t="s">
        <v>224</v>
      </c>
      <c r="AN4" t="s">
        <v>225</v>
      </c>
      <c r="AO4" t="s">
        <v>226</v>
      </c>
      <c r="AP4" t="s">
        <v>71</v>
      </c>
      <c r="AQ4" t="s">
        <v>183</v>
      </c>
      <c r="AR4">
        <v>16168190052</v>
      </c>
      <c r="AX4">
        <v>0</v>
      </c>
      <c r="AY4" t="s">
        <v>189</v>
      </c>
      <c r="AZ4" s="2">
        <v>2610000000000</v>
      </c>
      <c r="BB4" t="s">
        <v>186</v>
      </c>
      <c r="BC4" t="s">
        <v>187</v>
      </c>
      <c r="BD4">
        <v>0</v>
      </c>
      <c r="BQ4" t="str">
        <f>VLOOKUP($AY4,States!$B$4:$AZ$2000,MATCH(AP4,States!$B$3:$AZ$3,FALSE),FALSE)</f>
        <v>Nick Cisler</v>
      </c>
      <c r="BR4" t="str">
        <f>VLOOKUP($BQ4,'Rep Contact info'!$B$3:$D$400,MATCH(BR$1,'Rep Contact info'!$B$2:$D$2,FALSE),FALSE)</f>
        <v>(215) 435-4353</v>
      </c>
      <c r="BS4" t="str">
        <f>VLOOKUP($BQ4,'Rep Contact info'!$B$3:$D$400,MATCH(BS$1,'Rep Contact info'!$B$2:$D$2,FALSE),FALSE)</f>
        <v>ncisler@gmail.com</v>
      </c>
    </row>
    <row r="5" spans="1:71" hidden="1" x14ac:dyDescent="0.35">
      <c r="A5" t="s">
        <v>218</v>
      </c>
      <c r="B5" t="s">
        <v>209</v>
      </c>
      <c r="P5" s="1">
        <v>44032.582638888889</v>
      </c>
      <c r="Q5">
        <v>2</v>
      </c>
      <c r="R5" t="s">
        <v>210</v>
      </c>
      <c r="S5">
        <v>0</v>
      </c>
      <c r="U5">
        <v>100385</v>
      </c>
      <c r="V5" t="b">
        <v>1</v>
      </c>
      <c r="W5" t="b">
        <v>0</v>
      </c>
      <c r="X5" t="s">
        <v>171</v>
      </c>
      <c r="Y5" t="s">
        <v>220</v>
      </c>
      <c r="Z5" t="s">
        <v>221</v>
      </c>
      <c r="AA5" t="s">
        <v>221</v>
      </c>
      <c r="AC5" t="s">
        <v>222</v>
      </c>
      <c r="AD5" t="s">
        <v>49</v>
      </c>
      <c r="AE5" t="s">
        <v>223</v>
      </c>
      <c r="AF5" t="s">
        <v>71</v>
      </c>
      <c r="AG5" t="s">
        <v>183</v>
      </c>
      <c r="AH5">
        <v>16163222043</v>
      </c>
      <c r="AI5" t="s">
        <v>211</v>
      </c>
      <c r="AJ5" t="s">
        <v>224</v>
      </c>
      <c r="AK5" t="s">
        <v>224</v>
      </c>
      <c r="AN5" t="s">
        <v>225</v>
      </c>
      <c r="AO5" t="s">
        <v>226</v>
      </c>
      <c r="AP5" t="s">
        <v>71</v>
      </c>
      <c r="AQ5" t="s">
        <v>183</v>
      </c>
      <c r="AR5">
        <v>16168190052</v>
      </c>
      <c r="AY5" t="s">
        <v>189</v>
      </c>
      <c r="BD5">
        <v>0</v>
      </c>
      <c r="BQ5" t="str">
        <f>VLOOKUP($AY5,States!$B$4:$AZ$2000,MATCH(AP5,States!$B$3:$AZ$3,FALSE),FALSE)</f>
        <v>Nick Cisler</v>
      </c>
      <c r="BR5" t="str">
        <f>VLOOKUP($BQ5,'Rep Contact info'!$B$3:$D$400,MATCH(BR$1,'Rep Contact info'!$B$2:$D$2,FALSE),FALSE)</f>
        <v>(215) 435-4353</v>
      </c>
      <c r="BS5" t="str">
        <f>VLOOKUP($BQ5,'Rep Contact info'!$B$3:$D$400,MATCH(BS$1,'Rep Contact info'!$B$2:$D$2,FALSE),FALSE)</f>
        <v>ncisler@gmail.com</v>
      </c>
    </row>
    <row r="6" spans="1:71" hidden="1" x14ac:dyDescent="0.35">
      <c r="A6" t="s">
        <v>227</v>
      </c>
      <c r="B6" t="s">
        <v>228</v>
      </c>
      <c r="C6" t="s">
        <v>170</v>
      </c>
      <c r="E6" t="s">
        <v>171</v>
      </c>
      <c r="F6" s="1">
        <v>44027.37777777778</v>
      </c>
      <c r="G6" t="s">
        <v>172</v>
      </c>
      <c r="H6" t="s">
        <v>173</v>
      </c>
      <c r="I6">
        <v>0</v>
      </c>
      <c r="J6">
        <v>0</v>
      </c>
      <c r="K6">
        <v>0</v>
      </c>
      <c r="L6">
        <v>0</v>
      </c>
      <c r="N6">
        <v>0</v>
      </c>
      <c r="O6" t="s">
        <v>174</v>
      </c>
      <c r="P6" s="1">
        <v>44026.624305555553</v>
      </c>
      <c r="Q6">
        <v>1</v>
      </c>
      <c r="R6" t="s">
        <v>191</v>
      </c>
      <c r="S6">
        <v>0</v>
      </c>
      <c r="U6">
        <v>100189</v>
      </c>
      <c r="V6" t="b">
        <v>1</v>
      </c>
      <c r="W6" t="b">
        <v>0</v>
      </c>
      <c r="X6" t="s">
        <v>171</v>
      </c>
      <c r="Y6" t="s">
        <v>229</v>
      </c>
      <c r="Z6" t="s">
        <v>230</v>
      </c>
      <c r="AA6" t="s">
        <v>230</v>
      </c>
      <c r="AC6" t="s">
        <v>231</v>
      </c>
      <c r="AD6" t="s">
        <v>225</v>
      </c>
      <c r="AE6" t="s">
        <v>226</v>
      </c>
      <c r="AF6" t="s">
        <v>71</v>
      </c>
      <c r="AG6" t="s">
        <v>183</v>
      </c>
      <c r="AH6" t="s">
        <v>232</v>
      </c>
      <c r="AI6" t="s">
        <v>229</v>
      </c>
      <c r="AJ6" t="s">
        <v>230</v>
      </c>
      <c r="AK6" t="s">
        <v>230</v>
      </c>
      <c r="AM6" t="s">
        <v>231</v>
      </c>
      <c r="AN6" t="s">
        <v>225</v>
      </c>
      <c r="AO6" t="s">
        <v>226</v>
      </c>
      <c r="AP6" t="s">
        <v>71</v>
      </c>
      <c r="AQ6" t="s">
        <v>183</v>
      </c>
      <c r="AR6" t="s">
        <v>232</v>
      </c>
      <c r="AX6">
        <v>0</v>
      </c>
      <c r="AY6" t="s">
        <v>189</v>
      </c>
      <c r="AZ6" s="2">
        <v>2600000000000</v>
      </c>
      <c r="BB6" t="s">
        <v>186</v>
      </c>
      <c r="BC6" t="s">
        <v>187</v>
      </c>
      <c r="BD6">
        <v>0</v>
      </c>
      <c r="BQ6" t="str">
        <f>VLOOKUP($AY6,States!$B$4:$AZ$2000,MATCH(AP6,States!$B$3:$AZ$3,FALSE),FALSE)</f>
        <v>Nick Cisler</v>
      </c>
      <c r="BR6" t="str">
        <f>VLOOKUP($BQ6,'Rep Contact info'!$B$3:$D$400,MATCH(BR$1,'Rep Contact info'!$B$2:$D$2,FALSE),FALSE)</f>
        <v>(215) 435-4353</v>
      </c>
      <c r="BS6" t="str">
        <f>VLOOKUP($BQ6,'Rep Contact info'!$B$3:$D$400,MATCH(BS$1,'Rep Contact info'!$B$2:$D$2,FALSE),FALSE)</f>
        <v>ncisler@gmail.com</v>
      </c>
    </row>
    <row r="7" spans="1:71" hidden="1" x14ac:dyDescent="0.35">
      <c r="A7" t="s">
        <v>227</v>
      </c>
      <c r="B7" t="s">
        <v>228</v>
      </c>
      <c r="P7" s="1">
        <v>44026.624305555553</v>
      </c>
      <c r="Q7">
        <v>1</v>
      </c>
      <c r="R7" t="s">
        <v>210</v>
      </c>
      <c r="S7">
        <v>0</v>
      </c>
      <c r="U7">
        <v>100385</v>
      </c>
      <c r="V7" t="b">
        <v>1</v>
      </c>
      <c r="W7" t="b">
        <v>0</v>
      </c>
      <c r="X7" t="s">
        <v>171</v>
      </c>
      <c r="Y7" t="s">
        <v>229</v>
      </c>
      <c r="Z7" t="s">
        <v>230</v>
      </c>
      <c r="AA7" t="s">
        <v>230</v>
      </c>
      <c r="AC7" t="s">
        <v>231</v>
      </c>
      <c r="AD7" t="s">
        <v>225</v>
      </c>
      <c r="AE7" t="s">
        <v>226</v>
      </c>
      <c r="AF7" t="s">
        <v>71</v>
      </c>
      <c r="AG7" t="s">
        <v>183</v>
      </c>
      <c r="AH7" t="s">
        <v>232</v>
      </c>
      <c r="AI7" t="s">
        <v>229</v>
      </c>
      <c r="AJ7" t="s">
        <v>230</v>
      </c>
      <c r="AK7" t="s">
        <v>230</v>
      </c>
      <c r="AM7" t="s">
        <v>231</v>
      </c>
      <c r="AN7" t="s">
        <v>225</v>
      </c>
      <c r="AO7" t="s">
        <v>226</v>
      </c>
      <c r="AP7" t="s">
        <v>71</v>
      </c>
      <c r="AQ7" t="s">
        <v>183</v>
      </c>
      <c r="AR7" t="s">
        <v>232</v>
      </c>
      <c r="AY7" t="s">
        <v>189</v>
      </c>
      <c r="BD7">
        <v>0</v>
      </c>
      <c r="BQ7" t="str">
        <f>VLOOKUP($AY7,States!$B$4:$AZ$2000,MATCH(AP7,States!$B$3:$AZ$3,FALSE),FALSE)</f>
        <v>Nick Cisler</v>
      </c>
      <c r="BR7" t="str">
        <f>VLOOKUP($BQ7,'Rep Contact info'!$B$3:$D$400,MATCH(BR$1,'Rep Contact info'!$B$2:$D$2,FALSE),FALSE)</f>
        <v>(215) 435-4353</v>
      </c>
      <c r="BS7" t="str">
        <f>VLOOKUP($BQ7,'Rep Contact info'!$B$3:$D$400,MATCH(BS$1,'Rep Contact info'!$B$2:$D$2,FALSE),FALSE)</f>
        <v>ncisler@gmail.com</v>
      </c>
    </row>
    <row r="8" spans="1:71" hidden="1" x14ac:dyDescent="0.35">
      <c r="A8" t="s">
        <v>233</v>
      </c>
      <c r="B8" t="s">
        <v>209</v>
      </c>
      <c r="C8" t="s">
        <v>170</v>
      </c>
      <c r="E8" t="s">
        <v>171</v>
      </c>
      <c r="F8" s="1">
        <v>44026.015972222223</v>
      </c>
      <c r="G8" t="s">
        <v>172</v>
      </c>
      <c r="H8" t="s">
        <v>173</v>
      </c>
      <c r="I8">
        <v>0</v>
      </c>
      <c r="J8">
        <v>0</v>
      </c>
      <c r="K8">
        <v>0</v>
      </c>
      <c r="L8">
        <v>0</v>
      </c>
      <c r="N8">
        <v>0</v>
      </c>
      <c r="O8" t="s">
        <v>174</v>
      </c>
      <c r="P8" s="1">
        <v>44019.426388888889</v>
      </c>
      <c r="Q8">
        <v>1</v>
      </c>
      <c r="R8" t="s">
        <v>234</v>
      </c>
      <c r="S8">
        <v>0</v>
      </c>
      <c r="U8">
        <v>500417</v>
      </c>
      <c r="V8" t="b">
        <v>1</v>
      </c>
      <c r="W8" t="b">
        <v>0</v>
      </c>
      <c r="X8" t="s">
        <v>171</v>
      </c>
      <c r="Y8" t="s">
        <v>211</v>
      </c>
      <c r="Z8" t="s">
        <v>224</v>
      </c>
      <c r="AA8" t="s">
        <v>224</v>
      </c>
      <c r="AD8" t="s">
        <v>225</v>
      </c>
      <c r="AE8" t="s">
        <v>226</v>
      </c>
      <c r="AF8" t="s">
        <v>71</v>
      </c>
      <c r="AG8" t="s">
        <v>183</v>
      </c>
      <c r="AH8">
        <v>16168190052</v>
      </c>
      <c r="AI8" t="s">
        <v>220</v>
      </c>
      <c r="AJ8" t="s">
        <v>221</v>
      </c>
      <c r="AK8" t="s">
        <v>221</v>
      </c>
      <c r="AM8" t="s">
        <v>222</v>
      </c>
      <c r="AN8" t="s">
        <v>49</v>
      </c>
      <c r="AO8" t="s">
        <v>223</v>
      </c>
      <c r="AP8" t="s">
        <v>71</v>
      </c>
      <c r="AQ8" t="s">
        <v>183</v>
      </c>
      <c r="AR8">
        <v>16163222043</v>
      </c>
      <c r="AX8">
        <v>0</v>
      </c>
      <c r="AY8" t="s">
        <v>194</v>
      </c>
      <c r="AZ8" s="2">
        <v>2580000000000</v>
      </c>
      <c r="BB8" t="s">
        <v>186</v>
      </c>
      <c r="BC8" t="s">
        <v>187</v>
      </c>
      <c r="BD8">
        <v>0</v>
      </c>
      <c r="BQ8" t="str">
        <f>VLOOKUP($AY8,States!$B$4:$AZ$2000,MATCH(AP8,States!$B$3:$AZ$3,FALSE),FALSE)</f>
        <v>Nick Cisler</v>
      </c>
      <c r="BR8" t="str">
        <f>VLOOKUP($BQ8,'Rep Contact info'!$B$3:$D$400,MATCH(BR$1,'Rep Contact info'!$B$2:$D$2,FALSE),FALSE)</f>
        <v>(215) 435-4353</v>
      </c>
      <c r="BS8" t="str">
        <f>VLOOKUP($BQ8,'Rep Contact info'!$B$3:$D$400,MATCH(BS$1,'Rep Contact info'!$B$2:$D$2,FALSE),FALSE)</f>
        <v>ncisler@gmail.com</v>
      </c>
    </row>
    <row r="9" spans="1:71" hidden="1" x14ac:dyDescent="0.35">
      <c r="A9" t="s">
        <v>233</v>
      </c>
      <c r="B9" t="s">
        <v>209</v>
      </c>
      <c r="P9" s="1">
        <v>44019.426388888889</v>
      </c>
      <c r="Q9">
        <v>1</v>
      </c>
      <c r="R9" t="s">
        <v>197</v>
      </c>
      <c r="S9">
        <v>0</v>
      </c>
      <c r="U9">
        <v>500414</v>
      </c>
      <c r="V9" t="b">
        <v>1</v>
      </c>
      <c r="W9" t="b">
        <v>0</v>
      </c>
      <c r="X9" t="s">
        <v>171</v>
      </c>
      <c r="Y9" t="s">
        <v>211</v>
      </c>
      <c r="Z9" t="s">
        <v>224</v>
      </c>
      <c r="AA9" t="s">
        <v>224</v>
      </c>
      <c r="AD9" t="s">
        <v>225</v>
      </c>
      <c r="AE9" t="s">
        <v>226</v>
      </c>
      <c r="AF9" t="s">
        <v>71</v>
      </c>
      <c r="AG9" t="s">
        <v>183</v>
      </c>
      <c r="AH9">
        <v>16168190052</v>
      </c>
      <c r="AI9" t="s">
        <v>220</v>
      </c>
      <c r="AJ9" t="s">
        <v>221</v>
      </c>
      <c r="AK9" t="s">
        <v>221</v>
      </c>
      <c r="AM9" t="s">
        <v>222</v>
      </c>
      <c r="AN9" t="s">
        <v>49</v>
      </c>
      <c r="AO9" t="s">
        <v>223</v>
      </c>
      <c r="AP9" t="s">
        <v>71</v>
      </c>
      <c r="AQ9" t="s">
        <v>183</v>
      </c>
      <c r="AR9">
        <v>16163222043</v>
      </c>
      <c r="AY9" t="s">
        <v>194</v>
      </c>
      <c r="BD9">
        <v>0</v>
      </c>
      <c r="BQ9" t="str">
        <f>VLOOKUP($AY9,States!$B$4:$AZ$2000,MATCH(AP9,States!$B$3:$AZ$3,FALSE),FALSE)</f>
        <v>Nick Cisler</v>
      </c>
      <c r="BR9" t="str">
        <f>VLOOKUP($BQ9,'Rep Contact info'!$B$3:$D$400,MATCH(BR$1,'Rep Contact info'!$B$2:$D$2,FALSE),FALSE)</f>
        <v>(215) 435-4353</v>
      </c>
      <c r="BS9" t="str">
        <f>VLOOKUP($BQ9,'Rep Contact info'!$B$3:$D$400,MATCH(BS$1,'Rep Contact info'!$B$2:$D$2,FALSE),FALSE)</f>
        <v>ncisler@gmail.com</v>
      </c>
    </row>
    <row r="10" spans="1:71" hidden="1" x14ac:dyDescent="0.35">
      <c r="A10" t="s">
        <v>233</v>
      </c>
      <c r="B10" t="s">
        <v>209</v>
      </c>
      <c r="P10" s="1">
        <v>44019.426388888889</v>
      </c>
      <c r="Q10">
        <v>1</v>
      </c>
      <c r="R10" t="s">
        <v>207</v>
      </c>
      <c r="S10">
        <v>0</v>
      </c>
      <c r="U10">
        <v>100241</v>
      </c>
      <c r="V10" t="b">
        <v>1</v>
      </c>
      <c r="W10" t="b">
        <v>0</v>
      </c>
      <c r="X10" t="s">
        <v>171</v>
      </c>
      <c r="Y10" t="s">
        <v>211</v>
      </c>
      <c r="Z10" t="s">
        <v>224</v>
      </c>
      <c r="AA10" t="s">
        <v>224</v>
      </c>
      <c r="AD10" t="s">
        <v>225</v>
      </c>
      <c r="AE10" t="s">
        <v>226</v>
      </c>
      <c r="AF10" t="s">
        <v>71</v>
      </c>
      <c r="AG10" t="s">
        <v>183</v>
      </c>
      <c r="AH10">
        <v>16168190052</v>
      </c>
      <c r="AI10" t="s">
        <v>220</v>
      </c>
      <c r="AJ10" t="s">
        <v>221</v>
      </c>
      <c r="AK10" t="s">
        <v>221</v>
      </c>
      <c r="AM10" t="s">
        <v>222</v>
      </c>
      <c r="AN10" t="s">
        <v>49</v>
      </c>
      <c r="AO10" t="s">
        <v>223</v>
      </c>
      <c r="AP10" t="s">
        <v>71</v>
      </c>
      <c r="AQ10" t="s">
        <v>183</v>
      </c>
      <c r="AR10">
        <v>16163222043</v>
      </c>
      <c r="AY10" t="s">
        <v>189</v>
      </c>
      <c r="BD10">
        <v>0</v>
      </c>
      <c r="BQ10" t="str">
        <f>VLOOKUP($AY10,States!$B$4:$AZ$2000,MATCH(AP10,States!$B$3:$AZ$3,FALSE),FALSE)</f>
        <v>Nick Cisler</v>
      </c>
      <c r="BR10" t="str">
        <f>VLOOKUP($BQ10,'Rep Contact info'!$B$3:$D$400,MATCH(BR$1,'Rep Contact info'!$B$2:$D$2,FALSE),FALSE)</f>
        <v>(215) 435-4353</v>
      </c>
      <c r="BS10" t="str">
        <f>VLOOKUP($BQ10,'Rep Contact info'!$B$3:$D$400,MATCH(BS$1,'Rep Contact info'!$B$2:$D$2,FALSE),FALSE)</f>
        <v>ncisler@gmail.com</v>
      </c>
    </row>
    <row r="11" spans="1:71" hidden="1" x14ac:dyDescent="0.35">
      <c r="A11" t="s">
        <v>235</v>
      </c>
      <c r="B11" t="s">
        <v>209</v>
      </c>
      <c r="C11" t="s">
        <v>170</v>
      </c>
      <c r="E11" t="s">
        <v>171</v>
      </c>
      <c r="F11" s="1">
        <v>44013.583333333336</v>
      </c>
      <c r="G11" t="s">
        <v>172</v>
      </c>
      <c r="H11" t="s">
        <v>173</v>
      </c>
      <c r="I11">
        <v>0</v>
      </c>
      <c r="J11">
        <v>0</v>
      </c>
      <c r="K11">
        <v>0</v>
      </c>
      <c r="L11">
        <v>0</v>
      </c>
      <c r="N11">
        <v>0</v>
      </c>
      <c r="O11" t="s">
        <v>174</v>
      </c>
      <c r="P11" s="1">
        <v>44013.572916666664</v>
      </c>
      <c r="Q11">
        <v>1</v>
      </c>
      <c r="R11" t="s">
        <v>191</v>
      </c>
      <c r="S11">
        <v>0</v>
      </c>
      <c r="U11">
        <v>100189</v>
      </c>
      <c r="V11" t="b">
        <v>1</v>
      </c>
      <c r="W11" t="b">
        <v>0</v>
      </c>
      <c r="X11" t="s">
        <v>171</v>
      </c>
      <c r="Y11" t="s">
        <v>211</v>
      </c>
      <c r="Z11" t="s">
        <v>224</v>
      </c>
      <c r="AA11" t="s">
        <v>224</v>
      </c>
      <c r="AD11" t="s">
        <v>225</v>
      </c>
      <c r="AE11" t="s">
        <v>226</v>
      </c>
      <c r="AF11" t="s">
        <v>71</v>
      </c>
      <c r="AG11" t="s">
        <v>183</v>
      </c>
      <c r="AH11">
        <v>16168190052</v>
      </c>
      <c r="AI11" t="s">
        <v>211</v>
      </c>
      <c r="AJ11" t="s">
        <v>224</v>
      </c>
      <c r="AK11" t="s">
        <v>224</v>
      </c>
      <c r="AN11" t="s">
        <v>225</v>
      </c>
      <c r="AO11" t="s">
        <v>226</v>
      </c>
      <c r="AP11" t="s">
        <v>71</v>
      </c>
      <c r="AQ11" t="s">
        <v>183</v>
      </c>
      <c r="AR11">
        <v>16168190052</v>
      </c>
      <c r="AX11">
        <v>0</v>
      </c>
      <c r="AY11" t="s">
        <v>189</v>
      </c>
      <c r="AZ11" s="2">
        <v>2570000000000</v>
      </c>
      <c r="BB11" t="s">
        <v>186</v>
      </c>
      <c r="BC11" t="s">
        <v>187</v>
      </c>
      <c r="BD11">
        <v>0</v>
      </c>
      <c r="BQ11" t="str">
        <f>VLOOKUP($AY11,States!$B$4:$AZ$2000,MATCH(AP11,States!$B$3:$AZ$3,FALSE),FALSE)</f>
        <v>Nick Cisler</v>
      </c>
      <c r="BR11" t="str">
        <f>VLOOKUP($BQ11,'Rep Contact info'!$B$3:$D$400,MATCH(BR$1,'Rep Contact info'!$B$2:$D$2,FALSE),FALSE)</f>
        <v>(215) 435-4353</v>
      </c>
      <c r="BS11" t="str">
        <f>VLOOKUP($BQ11,'Rep Contact info'!$B$3:$D$400,MATCH(BS$1,'Rep Contact info'!$B$2:$D$2,FALSE),FALSE)</f>
        <v>ncisler@gmail.com</v>
      </c>
    </row>
    <row r="12" spans="1:71" hidden="1" x14ac:dyDescent="0.35">
      <c r="A12" t="s">
        <v>236</v>
      </c>
      <c r="B12" t="s">
        <v>209</v>
      </c>
      <c r="C12" t="s">
        <v>170</v>
      </c>
      <c r="E12" t="s">
        <v>171</v>
      </c>
      <c r="F12" s="1">
        <v>44013.583333333336</v>
      </c>
      <c r="G12" t="s">
        <v>172</v>
      </c>
      <c r="H12" t="s">
        <v>173</v>
      </c>
      <c r="I12">
        <v>0</v>
      </c>
      <c r="J12">
        <v>0</v>
      </c>
      <c r="K12">
        <v>0</v>
      </c>
      <c r="L12">
        <v>0</v>
      </c>
      <c r="N12">
        <v>0</v>
      </c>
      <c r="O12" t="s">
        <v>174</v>
      </c>
      <c r="P12" s="1">
        <v>44006.573611111111</v>
      </c>
      <c r="Q12">
        <v>1</v>
      </c>
      <c r="R12" t="s">
        <v>210</v>
      </c>
      <c r="S12">
        <v>0</v>
      </c>
      <c r="U12">
        <v>100385</v>
      </c>
      <c r="V12" t="b">
        <v>1</v>
      </c>
      <c r="W12" t="b">
        <v>0</v>
      </c>
      <c r="X12" t="s">
        <v>171</v>
      </c>
      <c r="Y12" t="s">
        <v>211</v>
      </c>
      <c r="Z12" t="s">
        <v>212</v>
      </c>
      <c r="AA12" t="s">
        <v>212</v>
      </c>
      <c r="AC12" t="s">
        <v>237</v>
      </c>
      <c r="AD12" t="s">
        <v>214</v>
      </c>
      <c r="AE12" t="s">
        <v>215</v>
      </c>
      <c r="AF12" t="s">
        <v>71</v>
      </c>
      <c r="AG12" t="s">
        <v>183</v>
      </c>
      <c r="AH12">
        <v>16168190052</v>
      </c>
      <c r="AI12" t="s">
        <v>211</v>
      </c>
      <c r="AJ12" t="s">
        <v>224</v>
      </c>
      <c r="AK12" t="s">
        <v>224</v>
      </c>
      <c r="AN12" t="s">
        <v>225</v>
      </c>
      <c r="AO12" t="s">
        <v>226</v>
      </c>
      <c r="AP12" t="s">
        <v>71</v>
      </c>
      <c r="AQ12" t="s">
        <v>183</v>
      </c>
      <c r="AR12">
        <v>16168190052</v>
      </c>
      <c r="AX12">
        <v>0</v>
      </c>
      <c r="AY12" t="s">
        <v>189</v>
      </c>
      <c r="AZ12" s="2">
        <v>2560000000000</v>
      </c>
      <c r="BB12" t="s">
        <v>186</v>
      </c>
      <c r="BC12" t="s">
        <v>187</v>
      </c>
      <c r="BD12">
        <v>0</v>
      </c>
      <c r="BQ12" t="str">
        <f>VLOOKUP($AY12,States!$B$4:$AZ$2000,MATCH(AP12,States!$B$3:$AZ$3,FALSE),FALSE)</f>
        <v>Nick Cisler</v>
      </c>
      <c r="BR12" t="str">
        <f>VLOOKUP($BQ12,'Rep Contact info'!$B$3:$D$400,MATCH(BR$1,'Rep Contact info'!$B$2:$D$2,FALSE),FALSE)</f>
        <v>(215) 435-4353</v>
      </c>
      <c r="BS12" t="str">
        <f>VLOOKUP($BQ12,'Rep Contact info'!$B$3:$D$400,MATCH(BS$1,'Rep Contact info'!$B$2:$D$2,FALSE),FALSE)</f>
        <v>ncisler@gmail.com</v>
      </c>
    </row>
    <row r="13" spans="1:71" hidden="1" x14ac:dyDescent="0.35">
      <c r="A13" t="s">
        <v>238</v>
      </c>
      <c r="B13" t="s">
        <v>209</v>
      </c>
      <c r="C13" t="s">
        <v>170</v>
      </c>
      <c r="E13" t="s">
        <v>171</v>
      </c>
      <c r="F13" s="1">
        <v>44013.583333333336</v>
      </c>
      <c r="G13" t="s">
        <v>172</v>
      </c>
      <c r="H13" t="s">
        <v>173</v>
      </c>
      <c r="I13">
        <v>0</v>
      </c>
      <c r="J13">
        <v>0</v>
      </c>
      <c r="K13">
        <v>0</v>
      </c>
      <c r="L13">
        <v>0</v>
      </c>
      <c r="N13">
        <v>0</v>
      </c>
      <c r="O13" t="s">
        <v>174</v>
      </c>
      <c r="P13" s="1">
        <v>43997.413888888892</v>
      </c>
      <c r="Q13">
        <v>1</v>
      </c>
      <c r="R13" t="s">
        <v>239</v>
      </c>
      <c r="S13">
        <v>0</v>
      </c>
      <c r="U13">
        <v>12040</v>
      </c>
      <c r="V13" t="b">
        <v>1</v>
      </c>
      <c r="W13" t="b">
        <v>0</v>
      </c>
      <c r="X13" t="s">
        <v>171</v>
      </c>
      <c r="Y13" t="s">
        <v>211</v>
      </c>
      <c r="Z13" t="s">
        <v>212</v>
      </c>
      <c r="AA13" t="s">
        <v>212</v>
      </c>
      <c r="AC13" t="s">
        <v>237</v>
      </c>
      <c r="AD13" t="s">
        <v>214</v>
      </c>
      <c r="AE13" t="s">
        <v>215</v>
      </c>
      <c r="AF13" t="s">
        <v>71</v>
      </c>
      <c r="AG13" t="s">
        <v>183</v>
      </c>
      <c r="AH13">
        <v>16168190052</v>
      </c>
      <c r="AI13" t="s">
        <v>211</v>
      </c>
      <c r="AJ13" t="s">
        <v>212</v>
      </c>
      <c r="AK13" t="s">
        <v>212</v>
      </c>
      <c r="AM13" t="s">
        <v>237</v>
      </c>
      <c r="AN13" t="s">
        <v>214</v>
      </c>
      <c r="AO13" t="s">
        <v>215</v>
      </c>
      <c r="AP13" t="s">
        <v>71</v>
      </c>
      <c r="AQ13" t="s">
        <v>183</v>
      </c>
      <c r="AR13">
        <v>16168190052</v>
      </c>
      <c r="AX13">
        <v>0</v>
      </c>
      <c r="AY13" t="s">
        <v>194</v>
      </c>
      <c r="AZ13" s="2">
        <v>2530000000000</v>
      </c>
      <c r="BB13" t="s">
        <v>186</v>
      </c>
      <c r="BC13" t="s">
        <v>187</v>
      </c>
      <c r="BD13">
        <v>0</v>
      </c>
      <c r="BQ13" t="str">
        <f>VLOOKUP($AY13,States!$B$4:$AZ$2000,MATCH(AP13,States!$B$3:$AZ$3,FALSE),FALSE)</f>
        <v>Nick Cisler</v>
      </c>
      <c r="BR13" t="str">
        <f>VLOOKUP($BQ13,'Rep Contact info'!$B$3:$D$400,MATCH(BR$1,'Rep Contact info'!$B$2:$D$2,FALSE),FALSE)</f>
        <v>(215) 435-4353</v>
      </c>
      <c r="BS13" t="str">
        <f>VLOOKUP($BQ13,'Rep Contact info'!$B$3:$D$400,MATCH(BS$1,'Rep Contact info'!$B$2:$D$2,FALSE),FALSE)</f>
        <v>ncisler@gmail.com</v>
      </c>
    </row>
    <row r="14" spans="1:71" hidden="1" x14ac:dyDescent="0.35">
      <c r="A14" t="s">
        <v>238</v>
      </c>
      <c r="B14" t="s">
        <v>209</v>
      </c>
      <c r="P14" s="1">
        <v>43997.413888888892</v>
      </c>
      <c r="Q14">
        <v>1</v>
      </c>
      <c r="R14" t="s">
        <v>240</v>
      </c>
      <c r="S14">
        <v>0</v>
      </c>
      <c r="U14">
        <v>12043</v>
      </c>
      <c r="V14" t="b">
        <v>1</v>
      </c>
      <c r="W14" t="b">
        <v>0</v>
      </c>
      <c r="X14" t="s">
        <v>171</v>
      </c>
      <c r="Y14" t="s">
        <v>211</v>
      </c>
      <c r="Z14" t="s">
        <v>212</v>
      </c>
      <c r="AA14" t="s">
        <v>212</v>
      </c>
      <c r="AC14" t="s">
        <v>237</v>
      </c>
      <c r="AD14" t="s">
        <v>214</v>
      </c>
      <c r="AE14" t="s">
        <v>215</v>
      </c>
      <c r="AF14" t="s">
        <v>71</v>
      </c>
      <c r="AG14" t="s">
        <v>183</v>
      </c>
      <c r="AH14">
        <v>16168190052</v>
      </c>
      <c r="AI14" t="s">
        <v>211</v>
      </c>
      <c r="AJ14" t="s">
        <v>212</v>
      </c>
      <c r="AK14" t="s">
        <v>212</v>
      </c>
      <c r="AM14" t="s">
        <v>237</v>
      </c>
      <c r="AN14" t="s">
        <v>214</v>
      </c>
      <c r="AO14" t="s">
        <v>215</v>
      </c>
      <c r="AP14" t="s">
        <v>71</v>
      </c>
      <c r="AQ14" t="s">
        <v>183</v>
      </c>
      <c r="AR14">
        <v>16168190052</v>
      </c>
      <c r="AY14" t="s">
        <v>194</v>
      </c>
      <c r="BD14">
        <v>0</v>
      </c>
      <c r="BQ14" t="str">
        <f>VLOOKUP($AY14,States!$B$4:$AZ$2000,MATCH(AP14,States!$B$3:$AZ$3,FALSE),FALSE)</f>
        <v>Nick Cisler</v>
      </c>
      <c r="BR14" t="str">
        <f>VLOOKUP($BQ14,'Rep Contact info'!$B$3:$D$400,MATCH(BR$1,'Rep Contact info'!$B$2:$D$2,FALSE),FALSE)</f>
        <v>(215) 435-4353</v>
      </c>
      <c r="BS14" t="str">
        <f>VLOOKUP($BQ14,'Rep Contact info'!$B$3:$D$400,MATCH(BS$1,'Rep Contact info'!$B$2:$D$2,FALSE),FALSE)</f>
        <v>ncisler@gmail.com</v>
      </c>
    </row>
    <row r="15" spans="1:71" x14ac:dyDescent="0.35">
      <c r="A15" t="s">
        <v>241</v>
      </c>
      <c r="B15" t="s">
        <v>242</v>
      </c>
      <c r="C15" t="s">
        <v>170</v>
      </c>
      <c r="E15" t="s">
        <v>171</v>
      </c>
      <c r="F15" s="1">
        <v>44013.583333333336</v>
      </c>
      <c r="G15" t="s">
        <v>172</v>
      </c>
      <c r="H15" t="s">
        <v>173</v>
      </c>
      <c r="I15">
        <v>0</v>
      </c>
      <c r="J15">
        <v>0</v>
      </c>
      <c r="K15">
        <v>0</v>
      </c>
      <c r="L15">
        <v>0</v>
      </c>
      <c r="N15">
        <v>0</v>
      </c>
      <c r="O15" t="s">
        <v>174</v>
      </c>
      <c r="P15" s="1">
        <v>43997.408333333333</v>
      </c>
      <c r="Q15">
        <v>1</v>
      </c>
      <c r="R15" t="s">
        <v>243</v>
      </c>
      <c r="S15">
        <v>0</v>
      </c>
      <c r="U15">
        <v>100222</v>
      </c>
      <c r="V15" t="b">
        <v>1</v>
      </c>
      <c r="W15" t="b">
        <v>0</v>
      </c>
      <c r="X15" t="s">
        <v>171</v>
      </c>
      <c r="Y15" t="s">
        <v>244</v>
      </c>
      <c r="Z15" t="s">
        <v>245</v>
      </c>
      <c r="AA15" t="s">
        <v>245</v>
      </c>
      <c r="AC15" t="s">
        <v>246</v>
      </c>
      <c r="AD15" t="s">
        <v>247</v>
      </c>
      <c r="AE15" t="s">
        <v>248</v>
      </c>
      <c r="AF15" t="s">
        <v>62</v>
      </c>
      <c r="AG15" t="s">
        <v>183</v>
      </c>
      <c r="AH15" t="s">
        <v>249</v>
      </c>
      <c r="AI15" t="s">
        <v>244</v>
      </c>
      <c r="AJ15" t="s">
        <v>245</v>
      </c>
      <c r="AK15" t="s">
        <v>245</v>
      </c>
      <c r="AM15" t="s">
        <v>246</v>
      </c>
      <c r="AN15" t="s">
        <v>247</v>
      </c>
      <c r="AO15" t="s">
        <v>248</v>
      </c>
      <c r="AP15" t="s">
        <v>62</v>
      </c>
      <c r="AQ15" t="s">
        <v>183</v>
      </c>
      <c r="AR15" t="s">
        <v>249</v>
      </c>
      <c r="AX15">
        <v>0</v>
      </c>
      <c r="AY15" t="s">
        <v>189</v>
      </c>
      <c r="AZ15" s="2">
        <v>2530000000000</v>
      </c>
      <c r="BB15" t="s">
        <v>186</v>
      </c>
      <c r="BC15" t="s">
        <v>187</v>
      </c>
      <c r="BD15">
        <v>0</v>
      </c>
      <c r="BQ15" t="str">
        <f>VLOOKUP($AY15,States!$B$4:$AZ$2000,MATCH(AP15,States!$B$3:$AZ$3,FALSE),FALSE)</f>
        <v>Greg Ambrogi</v>
      </c>
      <c r="BR15" t="str">
        <f>VLOOKUP($BQ15,'Rep Contact info'!$B$3:$D$400,MATCH(BR$1,'Rep Contact info'!$B$2:$D$2,FALSE),FALSE)</f>
        <v>(610) 420-3842</v>
      </c>
      <c r="BS15" t="str">
        <f>VLOOKUP($BQ15,'Rep Contact info'!$B$3:$D$400,MATCH(BS$1,'Rep Contact info'!$B$2:$D$2,FALSE),FALSE)</f>
        <v>grambrog24@gmail.com</v>
      </c>
    </row>
    <row r="16" spans="1:71" x14ac:dyDescent="0.35">
      <c r="A16" t="s">
        <v>241</v>
      </c>
      <c r="B16" t="s">
        <v>242</v>
      </c>
      <c r="P16" s="1">
        <v>43997.408333333333</v>
      </c>
      <c r="Q16">
        <v>1</v>
      </c>
      <c r="R16" t="s">
        <v>250</v>
      </c>
      <c r="S16">
        <v>0</v>
      </c>
      <c r="U16">
        <v>100</v>
      </c>
      <c r="V16" t="b">
        <v>1</v>
      </c>
      <c r="W16" t="b">
        <v>0</v>
      </c>
      <c r="X16" t="s">
        <v>171</v>
      </c>
      <c r="Y16" t="s">
        <v>244</v>
      </c>
      <c r="Z16" t="s">
        <v>245</v>
      </c>
      <c r="AA16" t="s">
        <v>245</v>
      </c>
      <c r="AC16" t="s">
        <v>246</v>
      </c>
      <c r="AD16" t="s">
        <v>247</v>
      </c>
      <c r="AE16" t="s">
        <v>248</v>
      </c>
      <c r="AF16" t="s">
        <v>62</v>
      </c>
      <c r="AG16" t="s">
        <v>183</v>
      </c>
      <c r="AH16" t="s">
        <v>249</v>
      </c>
      <c r="AI16" t="s">
        <v>244</v>
      </c>
      <c r="AJ16" t="s">
        <v>245</v>
      </c>
      <c r="AK16" t="s">
        <v>245</v>
      </c>
      <c r="AM16" t="s">
        <v>246</v>
      </c>
      <c r="AN16" t="s">
        <v>247</v>
      </c>
      <c r="AO16" t="s">
        <v>248</v>
      </c>
      <c r="AP16" t="s">
        <v>62</v>
      </c>
      <c r="AQ16" t="s">
        <v>183</v>
      </c>
      <c r="AR16" t="s">
        <v>249</v>
      </c>
      <c r="AY16" t="s">
        <v>189</v>
      </c>
      <c r="BD16">
        <v>0</v>
      </c>
      <c r="BQ16" t="str">
        <f>VLOOKUP($AY16,States!$B$4:$AZ$2000,MATCH(AP16,States!$B$3:$AZ$3,FALSE),FALSE)</f>
        <v>Greg Ambrogi</v>
      </c>
      <c r="BR16" t="str">
        <f>VLOOKUP($BQ16,'Rep Contact info'!$B$3:$D$400,MATCH(BR$1,'Rep Contact info'!$B$2:$D$2,FALSE),FALSE)</f>
        <v>(610) 420-3842</v>
      </c>
      <c r="BS16" t="str">
        <f>VLOOKUP($BQ16,'Rep Contact info'!$B$3:$D$400,MATCH(BS$1,'Rep Contact info'!$B$2:$D$2,FALSE),FALSE)</f>
        <v>grambrog24@gmail.com</v>
      </c>
    </row>
    <row r="17" spans="1:71" x14ac:dyDescent="0.35">
      <c r="A17" t="s">
        <v>241</v>
      </c>
      <c r="B17" t="s">
        <v>242</v>
      </c>
      <c r="P17" s="1">
        <v>43997.408333333333</v>
      </c>
      <c r="Q17">
        <v>1</v>
      </c>
      <c r="R17" t="s">
        <v>251</v>
      </c>
      <c r="S17">
        <v>0</v>
      </c>
      <c r="U17">
        <v>100176</v>
      </c>
      <c r="V17" t="b">
        <v>1</v>
      </c>
      <c r="W17" t="b">
        <v>0</v>
      </c>
      <c r="X17" t="s">
        <v>171</v>
      </c>
      <c r="Y17" t="s">
        <v>244</v>
      </c>
      <c r="Z17" t="s">
        <v>245</v>
      </c>
      <c r="AA17" t="s">
        <v>245</v>
      </c>
      <c r="AC17" t="s">
        <v>246</v>
      </c>
      <c r="AD17" t="s">
        <v>247</v>
      </c>
      <c r="AE17" t="s">
        <v>248</v>
      </c>
      <c r="AF17" t="s">
        <v>62</v>
      </c>
      <c r="AG17" t="s">
        <v>183</v>
      </c>
      <c r="AH17" t="s">
        <v>249</v>
      </c>
      <c r="AI17" t="s">
        <v>244</v>
      </c>
      <c r="AJ17" t="s">
        <v>245</v>
      </c>
      <c r="AK17" t="s">
        <v>245</v>
      </c>
      <c r="AM17" t="s">
        <v>246</v>
      </c>
      <c r="AN17" t="s">
        <v>247</v>
      </c>
      <c r="AO17" t="s">
        <v>248</v>
      </c>
      <c r="AP17" t="s">
        <v>62</v>
      </c>
      <c r="AQ17" t="s">
        <v>183</v>
      </c>
      <c r="AR17" t="s">
        <v>249</v>
      </c>
      <c r="AY17" t="s">
        <v>189</v>
      </c>
      <c r="BD17">
        <v>0</v>
      </c>
      <c r="BQ17" t="str">
        <f>VLOOKUP($AY17,States!$B$4:$AZ$2000,MATCH(AP17,States!$B$3:$AZ$3,FALSE),FALSE)</f>
        <v>Greg Ambrogi</v>
      </c>
      <c r="BR17" t="str">
        <f>VLOOKUP($BQ17,'Rep Contact info'!$B$3:$D$400,MATCH(BR$1,'Rep Contact info'!$B$2:$D$2,FALSE),FALSE)</f>
        <v>(610) 420-3842</v>
      </c>
      <c r="BS17" t="str">
        <f>VLOOKUP($BQ17,'Rep Contact info'!$B$3:$D$400,MATCH(BS$1,'Rep Contact info'!$B$2:$D$2,FALSE),FALSE)</f>
        <v>grambrog24@gmail.com</v>
      </c>
    </row>
    <row r="18" spans="1:71" x14ac:dyDescent="0.35">
      <c r="A18" t="s">
        <v>252</v>
      </c>
      <c r="B18" t="s">
        <v>253</v>
      </c>
      <c r="C18" t="s">
        <v>170</v>
      </c>
      <c r="E18" t="s">
        <v>171</v>
      </c>
      <c r="F18" s="1">
        <v>44013.583333333336</v>
      </c>
      <c r="G18" t="s">
        <v>172</v>
      </c>
      <c r="H18" t="s">
        <v>173</v>
      </c>
      <c r="I18">
        <v>0</v>
      </c>
      <c r="J18">
        <v>0</v>
      </c>
      <c r="K18">
        <v>0</v>
      </c>
      <c r="L18">
        <v>0</v>
      </c>
      <c r="N18">
        <v>0</v>
      </c>
      <c r="O18" t="s">
        <v>174</v>
      </c>
      <c r="P18" s="1">
        <v>43985.711111111108</v>
      </c>
      <c r="Q18">
        <v>1</v>
      </c>
      <c r="R18" t="s">
        <v>254</v>
      </c>
      <c r="S18">
        <v>0</v>
      </c>
      <c r="U18">
        <v>100304</v>
      </c>
      <c r="V18" t="b">
        <v>1</v>
      </c>
      <c r="W18" t="b">
        <v>0</v>
      </c>
      <c r="X18" t="s">
        <v>171</v>
      </c>
      <c r="Y18" t="s">
        <v>255</v>
      </c>
      <c r="Z18" t="s">
        <v>256</v>
      </c>
      <c r="AA18" t="s">
        <v>256</v>
      </c>
      <c r="AD18" t="s">
        <v>257</v>
      </c>
      <c r="AE18" t="s">
        <v>258</v>
      </c>
      <c r="AF18" t="s">
        <v>87</v>
      </c>
      <c r="AG18" t="s">
        <v>183</v>
      </c>
      <c r="AI18" t="s">
        <v>255</v>
      </c>
      <c r="AJ18" t="s">
        <v>256</v>
      </c>
      <c r="AK18" t="s">
        <v>256</v>
      </c>
      <c r="AN18" t="s">
        <v>257</v>
      </c>
      <c r="AO18" t="s">
        <v>258</v>
      </c>
      <c r="AP18" t="s">
        <v>87</v>
      </c>
      <c r="AQ18" t="s">
        <v>183</v>
      </c>
      <c r="AR18" t="s">
        <v>259</v>
      </c>
      <c r="AX18">
        <v>0</v>
      </c>
      <c r="AY18" t="s">
        <v>189</v>
      </c>
      <c r="AZ18" s="2">
        <v>2500000000000</v>
      </c>
      <c r="BB18" t="s">
        <v>186</v>
      </c>
      <c r="BC18" t="s">
        <v>187</v>
      </c>
      <c r="BD18">
        <v>0</v>
      </c>
      <c r="BQ18" t="str">
        <f>VLOOKUP($AY18,States!$B$4:$AZ$2000,MATCH(AP18,States!$B$3:$AZ$3,FALSE),FALSE)</f>
        <v>Greg Ambrogi</v>
      </c>
      <c r="BR18" t="str">
        <f>VLOOKUP($BQ18,'Rep Contact info'!$B$3:$D$400,MATCH(BR$1,'Rep Contact info'!$B$2:$D$2,FALSE),FALSE)</f>
        <v>(610) 420-3842</v>
      </c>
      <c r="BS18" t="str">
        <f>VLOOKUP($BQ18,'Rep Contact info'!$B$3:$D$400,MATCH(BS$1,'Rep Contact info'!$B$2:$D$2,FALSE),FALSE)</f>
        <v>grambrog24@gmail.com</v>
      </c>
    </row>
    <row r="19" spans="1:71" hidden="1" x14ac:dyDescent="0.35">
      <c r="A19" t="s">
        <v>260</v>
      </c>
      <c r="B19" t="s">
        <v>261</v>
      </c>
      <c r="C19" t="s">
        <v>170</v>
      </c>
      <c r="E19" t="s">
        <v>171</v>
      </c>
      <c r="F19" s="1">
        <v>43984.611805555556</v>
      </c>
      <c r="G19" t="s">
        <v>172</v>
      </c>
      <c r="H19" t="s">
        <v>173</v>
      </c>
      <c r="I19">
        <v>0</v>
      </c>
      <c r="J19">
        <v>0</v>
      </c>
      <c r="K19">
        <v>0</v>
      </c>
      <c r="L19">
        <v>0</v>
      </c>
      <c r="N19">
        <v>0</v>
      </c>
      <c r="O19" t="s">
        <v>174</v>
      </c>
      <c r="P19" s="1">
        <v>43984.609027777777</v>
      </c>
      <c r="Q19">
        <v>1</v>
      </c>
      <c r="R19" t="s">
        <v>262</v>
      </c>
      <c r="S19">
        <v>0</v>
      </c>
      <c r="U19">
        <v>100216</v>
      </c>
      <c r="V19" t="b">
        <v>1</v>
      </c>
      <c r="W19" t="b">
        <v>0</v>
      </c>
      <c r="X19" t="s">
        <v>171</v>
      </c>
      <c r="Y19" t="s">
        <v>263</v>
      </c>
      <c r="Z19" t="s">
        <v>264</v>
      </c>
      <c r="AA19" t="s">
        <v>264</v>
      </c>
      <c r="AC19" t="s">
        <v>265</v>
      </c>
      <c r="AD19" t="s">
        <v>266</v>
      </c>
      <c r="AE19" t="s">
        <v>267</v>
      </c>
      <c r="AF19" t="s">
        <v>71</v>
      </c>
      <c r="AG19" t="s">
        <v>183</v>
      </c>
      <c r="AH19" t="s">
        <v>268</v>
      </c>
      <c r="AI19" t="s">
        <v>263</v>
      </c>
      <c r="AJ19" t="s">
        <v>264</v>
      </c>
      <c r="AK19" t="s">
        <v>264</v>
      </c>
      <c r="AM19" t="s">
        <v>265</v>
      </c>
      <c r="AN19" t="s">
        <v>266</v>
      </c>
      <c r="AO19" t="s">
        <v>267</v>
      </c>
      <c r="AP19" t="s">
        <v>71</v>
      </c>
      <c r="AQ19" t="s">
        <v>183</v>
      </c>
      <c r="AR19" t="s">
        <v>268</v>
      </c>
      <c r="AX19">
        <v>0</v>
      </c>
      <c r="AY19" t="s">
        <v>189</v>
      </c>
      <c r="AZ19" s="2">
        <v>2500000000000</v>
      </c>
      <c r="BB19" t="s">
        <v>186</v>
      </c>
      <c r="BC19" t="s">
        <v>187</v>
      </c>
      <c r="BD19">
        <v>0</v>
      </c>
      <c r="BQ19" t="str">
        <f>VLOOKUP($AY19,States!$B$4:$AZ$2000,MATCH(AP19,States!$B$3:$AZ$3,FALSE),FALSE)</f>
        <v>Nick Cisler</v>
      </c>
      <c r="BR19" t="str">
        <f>VLOOKUP($BQ19,'Rep Contact info'!$B$3:$D$400,MATCH(BR$1,'Rep Contact info'!$B$2:$D$2,FALSE),FALSE)</f>
        <v>(215) 435-4353</v>
      </c>
      <c r="BS19" t="str">
        <f>VLOOKUP($BQ19,'Rep Contact info'!$B$3:$D$400,MATCH(BS$1,'Rep Contact info'!$B$2:$D$2,FALSE),FALSE)</f>
        <v>ncisler@gmail.com</v>
      </c>
    </row>
    <row r="20" spans="1:71" hidden="1" x14ac:dyDescent="0.35">
      <c r="A20" t="s">
        <v>269</v>
      </c>
      <c r="B20" t="s">
        <v>209</v>
      </c>
      <c r="C20" t="s">
        <v>170</v>
      </c>
      <c r="E20" t="s">
        <v>171</v>
      </c>
      <c r="F20" s="1">
        <v>44013.583333333336</v>
      </c>
      <c r="G20" t="s">
        <v>172</v>
      </c>
      <c r="H20" t="s">
        <v>173</v>
      </c>
      <c r="I20">
        <v>0</v>
      </c>
      <c r="J20">
        <v>0</v>
      </c>
      <c r="K20">
        <v>0</v>
      </c>
      <c r="L20">
        <v>0</v>
      </c>
      <c r="N20">
        <v>0</v>
      </c>
      <c r="O20" t="s">
        <v>174</v>
      </c>
      <c r="P20" s="1">
        <v>43984.542361111111</v>
      </c>
      <c r="Q20">
        <v>1</v>
      </c>
      <c r="R20" t="s">
        <v>210</v>
      </c>
      <c r="S20">
        <v>0</v>
      </c>
      <c r="U20">
        <v>100385</v>
      </c>
      <c r="V20" t="b">
        <v>1</v>
      </c>
      <c r="W20" t="b">
        <v>0</v>
      </c>
      <c r="X20" t="s">
        <v>171</v>
      </c>
      <c r="Y20" t="s">
        <v>211</v>
      </c>
      <c r="Z20" t="s">
        <v>230</v>
      </c>
      <c r="AA20" t="s">
        <v>230</v>
      </c>
      <c r="AC20" t="s">
        <v>270</v>
      </c>
      <c r="AD20" t="s">
        <v>225</v>
      </c>
      <c r="AE20" t="s">
        <v>226</v>
      </c>
      <c r="AF20" t="s">
        <v>71</v>
      </c>
      <c r="AG20" t="s">
        <v>183</v>
      </c>
      <c r="AH20" t="s">
        <v>271</v>
      </c>
      <c r="AI20" t="s">
        <v>211</v>
      </c>
      <c r="AJ20" t="s">
        <v>230</v>
      </c>
      <c r="AK20" t="s">
        <v>230</v>
      </c>
      <c r="AM20" t="s">
        <v>270</v>
      </c>
      <c r="AN20" t="s">
        <v>225</v>
      </c>
      <c r="AO20" t="s">
        <v>226</v>
      </c>
      <c r="AP20" t="s">
        <v>71</v>
      </c>
      <c r="AQ20" t="s">
        <v>183</v>
      </c>
      <c r="AR20" t="s">
        <v>271</v>
      </c>
      <c r="AX20">
        <v>0</v>
      </c>
      <c r="AY20" t="s">
        <v>189</v>
      </c>
      <c r="AZ20" s="2">
        <v>2500000000000</v>
      </c>
      <c r="BB20" t="s">
        <v>186</v>
      </c>
      <c r="BC20" t="s">
        <v>187</v>
      </c>
      <c r="BD20">
        <v>0</v>
      </c>
      <c r="BQ20" t="str">
        <f>VLOOKUP($AY20,States!$B$4:$AZ$2000,MATCH(AP20,States!$B$3:$AZ$3,FALSE),FALSE)</f>
        <v>Nick Cisler</v>
      </c>
      <c r="BR20" t="str">
        <f>VLOOKUP($BQ20,'Rep Contact info'!$B$3:$D$400,MATCH(BR$1,'Rep Contact info'!$B$2:$D$2,FALSE),FALSE)</f>
        <v>(215) 435-4353</v>
      </c>
      <c r="BS20" t="str">
        <f>VLOOKUP($BQ20,'Rep Contact info'!$B$3:$D$400,MATCH(BS$1,'Rep Contact info'!$B$2:$D$2,FALSE),FALSE)</f>
        <v>ncisler@gmail.com</v>
      </c>
    </row>
    <row r="21" spans="1:71" hidden="1" x14ac:dyDescent="0.35">
      <c r="A21" t="s">
        <v>272</v>
      </c>
      <c r="B21" t="s">
        <v>273</v>
      </c>
      <c r="C21" t="s">
        <v>170</v>
      </c>
      <c r="E21" t="s">
        <v>171</v>
      </c>
      <c r="F21" s="1">
        <v>43978.620138888888</v>
      </c>
      <c r="G21" t="s">
        <v>172</v>
      </c>
      <c r="H21" t="s">
        <v>173</v>
      </c>
      <c r="I21">
        <v>0</v>
      </c>
      <c r="J21">
        <v>0</v>
      </c>
      <c r="K21">
        <v>0</v>
      </c>
      <c r="L21">
        <v>0</v>
      </c>
      <c r="N21">
        <v>0</v>
      </c>
      <c r="O21" t="s">
        <v>174</v>
      </c>
      <c r="P21" s="1">
        <v>43978.618750000001</v>
      </c>
      <c r="Q21">
        <v>1</v>
      </c>
      <c r="R21" t="s">
        <v>210</v>
      </c>
      <c r="S21">
        <v>0</v>
      </c>
      <c r="U21">
        <v>100385</v>
      </c>
      <c r="V21" t="b">
        <v>1</v>
      </c>
      <c r="W21" t="b">
        <v>0</v>
      </c>
      <c r="X21" t="s">
        <v>171</v>
      </c>
      <c r="Y21" t="s">
        <v>274</v>
      </c>
      <c r="Z21" t="s">
        <v>224</v>
      </c>
      <c r="AA21" t="s">
        <v>224</v>
      </c>
      <c r="AC21" t="s">
        <v>275</v>
      </c>
      <c r="AD21" t="s">
        <v>225</v>
      </c>
      <c r="AE21" t="s">
        <v>226</v>
      </c>
      <c r="AF21" t="s">
        <v>71</v>
      </c>
      <c r="AG21" t="s">
        <v>183</v>
      </c>
      <c r="AH21" t="s">
        <v>276</v>
      </c>
      <c r="AI21" t="s">
        <v>274</v>
      </c>
      <c r="AJ21" t="s">
        <v>224</v>
      </c>
      <c r="AK21" t="s">
        <v>224</v>
      </c>
      <c r="AM21" t="s">
        <v>275</v>
      </c>
      <c r="AN21" t="s">
        <v>225</v>
      </c>
      <c r="AO21" t="s">
        <v>226</v>
      </c>
      <c r="AP21" t="s">
        <v>71</v>
      </c>
      <c r="AQ21" t="s">
        <v>183</v>
      </c>
      <c r="AR21" t="s">
        <v>276</v>
      </c>
      <c r="AX21">
        <v>0</v>
      </c>
      <c r="AY21" t="s">
        <v>189</v>
      </c>
      <c r="AZ21" s="2">
        <v>2490000000000</v>
      </c>
      <c r="BB21" t="s">
        <v>186</v>
      </c>
      <c r="BC21" t="s">
        <v>187</v>
      </c>
      <c r="BD21">
        <v>0</v>
      </c>
      <c r="BQ21" t="str">
        <f>VLOOKUP($AY21,States!$B$4:$AZ$2000,MATCH(AP21,States!$B$3:$AZ$3,FALSE),FALSE)</f>
        <v>Nick Cisler</v>
      </c>
      <c r="BR21" t="str">
        <f>VLOOKUP($BQ21,'Rep Contact info'!$B$3:$D$400,MATCH(BR$1,'Rep Contact info'!$B$2:$D$2,FALSE),FALSE)</f>
        <v>(215) 435-4353</v>
      </c>
      <c r="BS21" t="str">
        <f>VLOOKUP($BQ21,'Rep Contact info'!$B$3:$D$400,MATCH(BS$1,'Rep Contact info'!$B$2:$D$2,FALSE),FALSE)</f>
        <v>ncisler@gmail.com</v>
      </c>
    </row>
    <row r="22" spans="1:71" hidden="1" x14ac:dyDescent="0.35">
      <c r="A22" t="s">
        <v>277</v>
      </c>
      <c r="C22" t="s">
        <v>170</v>
      </c>
      <c r="E22" t="s">
        <v>171</v>
      </c>
      <c r="F22" s="1">
        <v>44013.583333333336</v>
      </c>
      <c r="G22" t="s">
        <v>172</v>
      </c>
      <c r="H22" t="s">
        <v>173</v>
      </c>
      <c r="I22">
        <v>0</v>
      </c>
      <c r="J22">
        <v>0</v>
      </c>
      <c r="K22">
        <v>0</v>
      </c>
      <c r="L22">
        <v>0</v>
      </c>
      <c r="N22">
        <v>0</v>
      </c>
      <c r="P22" s="1">
        <v>43978.59652777778</v>
      </c>
      <c r="Q22">
        <v>1</v>
      </c>
      <c r="R22" t="s">
        <v>262</v>
      </c>
      <c r="S22">
        <v>0</v>
      </c>
      <c r="U22">
        <v>100216</v>
      </c>
      <c r="V22" t="b">
        <v>1</v>
      </c>
      <c r="W22" t="b">
        <v>0</v>
      </c>
      <c r="X22" t="s">
        <v>171</v>
      </c>
      <c r="Y22" t="s">
        <v>274</v>
      </c>
      <c r="Z22" t="s">
        <v>224</v>
      </c>
      <c r="AA22" t="s">
        <v>224</v>
      </c>
      <c r="AC22" t="s">
        <v>275</v>
      </c>
      <c r="AD22" t="s">
        <v>225</v>
      </c>
      <c r="AE22" t="s">
        <v>226</v>
      </c>
      <c r="AF22" t="s">
        <v>71</v>
      </c>
      <c r="AG22" t="s">
        <v>183</v>
      </c>
      <c r="AH22" t="s">
        <v>276</v>
      </c>
      <c r="AI22" t="s">
        <v>274</v>
      </c>
      <c r="AJ22" t="s">
        <v>224</v>
      </c>
      <c r="AK22" t="s">
        <v>224</v>
      </c>
      <c r="AM22" t="s">
        <v>275</v>
      </c>
      <c r="AN22" t="s">
        <v>225</v>
      </c>
      <c r="AO22" t="s">
        <v>226</v>
      </c>
      <c r="AP22" t="s">
        <v>71</v>
      </c>
      <c r="AQ22" t="s">
        <v>183</v>
      </c>
      <c r="AR22" t="s">
        <v>276</v>
      </c>
      <c r="AX22">
        <v>0</v>
      </c>
      <c r="AY22" t="s">
        <v>189</v>
      </c>
      <c r="AZ22" s="2">
        <v>2490000000000</v>
      </c>
      <c r="BB22" t="s">
        <v>186</v>
      </c>
      <c r="BC22" t="s">
        <v>278</v>
      </c>
      <c r="BD22">
        <v>0</v>
      </c>
      <c r="BQ22" t="str">
        <f>VLOOKUP($AY22,States!$B$4:$AZ$2000,MATCH(AP22,States!$B$3:$AZ$3,FALSE),FALSE)</f>
        <v>Nick Cisler</v>
      </c>
      <c r="BR22" t="str">
        <f>VLOOKUP($BQ22,'Rep Contact info'!$B$3:$D$400,MATCH(BR$1,'Rep Contact info'!$B$2:$D$2,FALSE),FALSE)</f>
        <v>(215) 435-4353</v>
      </c>
      <c r="BS22" t="str">
        <f>VLOOKUP($BQ22,'Rep Contact info'!$B$3:$D$400,MATCH(BS$1,'Rep Contact info'!$B$2:$D$2,FALSE),FALSE)</f>
        <v>ncisler@gmail.com</v>
      </c>
    </row>
    <row r="23" spans="1:71" hidden="1" x14ac:dyDescent="0.35">
      <c r="F23" s="1"/>
      <c r="P23" s="1"/>
      <c r="AZ23" s="2"/>
      <c r="BQ23" t="e">
        <f>VLOOKUP($AY23,States!$B$4:$AZ$2000,MATCH(AP23,States!$B$3:$AZ$3,FALSE),FALSE)</f>
        <v>#N/A</v>
      </c>
      <c r="BR23" t="e">
        <f>VLOOKUP($BQ23,'Rep Contact info'!$B$3:$D$400,MATCH(BR$1,'Rep Contact info'!$B$2:$D$2,FALSE),FALSE)</f>
        <v>#N/A</v>
      </c>
      <c r="BS23" t="e">
        <f>VLOOKUP($BQ23,'Rep Contact info'!$B$3:$D$400,MATCH(BS$1,'Rep Contact info'!$B$2:$D$2,FALSE),FALSE)</f>
        <v>#N/A</v>
      </c>
    </row>
    <row r="24" spans="1:71" hidden="1" x14ac:dyDescent="0.35">
      <c r="P24" s="1"/>
      <c r="BQ24" t="e">
        <f>VLOOKUP($AY24,States!$B$4:$AZ$2000,MATCH(AP24,States!$B$3:$AZ$3,FALSE),FALSE)</f>
        <v>#N/A</v>
      </c>
      <c r="BR24" t="e">
        <f>VLOOKUP($BQ24,'Rep Contact info'!$B$3:$D$400,MATCH(BR$1,'Rep Contact info'!$B$2:$D$2,FALSE),FALSE)</f>
        <v>#N/A</v>
      </c>
      <c r="BS24" t="e">
        <f>VLOOKUP($BQ24,'Rep Contact info'!$B$3:$D$400,MATCH(BS$1,'Rep Contact info'!$B$2:$D$2,FALSE),FALSE)</f>
        <v>#N/A</v>
      </c>
    </row>
    <row r="25" spans="1:71" hidden="1" x14ac:dyDescent="0.35">
      <c r="F25" s="1"/>
      <c r="P25" s="1"/>
      <c r="AZ25" s="2"/>
      <c r="BQ25" t="e">
        <f>VLOOKUP($AY25,States!$B$4:$AZ$2000,MATCH(AP25,States!$B$3:$AZ$3,FALSE),FALSE)</f>
        <v>#N/A</v>
      </c>
      <c r="BR25" t="e">
        <f>VLOOKUP($BQ25,'Rep Contact info'!$B$3:$D$400,MATCH(BR$1,'Rep Contact info'!$B$2:$D$2,FALSE),FALSE)</f>
        <v>#N/A</v>
      </c>
      <c r="BS25" t="e">
        <f>VLOOKUP($BQ25,'Rep Contact info'!$B$3:$D$400,MATCH(BS$1,'Rep Contact info'!$B$2:$D$2,FALSE),FALSE)</f>
        <v>#N/A</v>
      </c>
    </row>
    <row r="26" spans="1:71" hidden="1" x14ac:dyDescent="0.35">
      <c r="P26" s="1"/>
      <c r="BQ26" t="e">
        <f>VLOOKUP($AY26,States!$B$4:$AZ$2000,MATCH(AP26,States!$B$3:$AZ$3,FALSE),FALSE)</f>
        <v>#N/A</v>
      </c>
      <c r="BR26" t="e">
        <f>VLOOKUP($BQ26,'Rep Contact info'!$B$3:$D$400,MATCH(BR$1,'Rep Contact info'!$B$2:$D$2,FALSE),FALSE)</f>
        <v>#N/A</v>
      </c>
      <c r="BS26" t="e">
        <f>VLOOKUP($BQ26,'Rep Contact info'!$B$3:$D$400,MATCH(BS$1,'Rep Contact info'!$B$2:$D$2,FALSE),FALSE)</f>
        <v>#N/A</v>
      </c>
    </row>
    <row r="27" spans="1:71" hidden="1" x14ac:dyDescent="0.35">
      <c r="F27" s="1"/>
      <c r="P27" s="1"/>
      <c r="AZ27" s="2"/>
      <c r="BQ27" t="e">
        <f>VLOOKUP($AY27,States!$B$4:$AZ$2000,MATCH(AP27,States!$B$3:$AZ$3,FALSE),FALSE)</f>
        <v>#N/A</v>
      </c>
      <c r="BR27" t="e">
        <f>VLOOKUP($BQ27,'Rep Contact info'!$B$3:$D$400,MATCH(BR$1,'Rep Contact info'!$B$2:$D$2,FALSE),FALSE)</f>
        <v>#N/A</v>
      </c>
      <c r="BS27" t="e">
        <f>VLOOKUP($BQ27,'Rep Contact info'!$B$3:$D$400,MATCH(BS$1,'Rep Contact info'!$B$2:$D$2,FALSE),FALSE)</f>
        <v>#N/A</v>
      </c>
    </row>
    <row r="28" spans="1:71" hidden="1" x14ac:dyDescent="0.35">
      <c r="P28" s="1"/>
      <c r="BQ28" t="e">
        <f>VLOOKUP($AY28,States!$B$4:$AZ$2000,MATCH(AP28,States!$B$3:$AZ$3,FALSE),FALSE)</f>
        <v>#N/A</v>
      </c>
      <c r="BR28" t="e">
        <f>VLOOKUP($BQ28,'Rep Contact info'!$B$3:$D$400,MATCH(BR$1,'Rep Contact info'!$B$2:$D$2,FALSE),FALSE)</f>
        <v>#N/A</v>
      </c>
      <c r="BS28" t="e">
        <f>VLOOKUP($BQ28,'Rep Contact info'!$B$3:$D$400,MATCH(BS$1,'Rep Contact info'!$B$2:$D$2,FALSE),FALSE)</f>
        <v>#N/A</v>
      </c>
    </row>
    <row r="29" spans="1:71" hidden="1" x14ac:dyDescent="0.35">
      <c r="P29" s="1"/>
      <c r="BQ29" t="e">
        <f>VLOOKUP($AY29,States!$B$4:$AZ$2000,MATCH(AP29,States!$B$3:$AZ$3,FALSE),FALSE)</f>
        <v>#N/A</v>
      </c>
      <c r="BR29" t="e">
        <f>VLOOKUP($BQ29,'Rep Contact info'!$B$3:$D$400,MATCH(BR$1,'Rep Contact info'!$B$2:$D$2,FALSE),FALSE)</f>
        <v>#N/A</v>
      </c>
      <c r="BS29" t="e">
        <f>VLOOKUP($BQ29,'Rep Contact info'!$B$3:$D$400,MATCH(BS$1,'Rep Contact info'!$B$2:$D$2,FALSE),FALSE)</f>
        <v>#N/A</v>
      </c>
    </row>
    <row r="30" spans="1:71" hidden="1" x14ac:dyDescent="0.35">
      <c r="F30" s="1"/>
      <c r="P30" s="1"/>
      <c r="AZ30" s="2"/>
      <c r="BQ30" t="e">
        <f>VLOOKUP($AY30,States!$B$4:$AZ$2000,MATCH(AP30,States!$B$3:$AZ$3,FALSE),FALSE)</f>
        <v>#N/A</v>
      </c>
      <c r="BR30" t="e">
        <f>VLOOKUP($BQ30,'Rep Contact info'!$B$3:$D$400,MATCH(BR$1,'Rep Contact info'!$B$2:$D$2,FALSE),FALSE)</f>
        <v>#N/A</v>
      </c>
      <c r="BS30" t="e">
        <f>VLOOKUP($BQ30,'Rep Contact info'!$B$3:$D$400,MATCH(BS$1,'Rep Contact info'!$B$2:$D$2,FALSE),FALSE)</f>
        <v>#N/A</v>
      </c>
    </row>
    <row r="31" spans="1:71" hidden="1" x14ac:dyDescent="0.35">
      <c r="F31" s="1"/>
      <c r="P31" s="1"/>
      <c r="AZ31" s="2"/>
      <c r="BQ31" t="e">
        <f>VLOOKUP($AY31,States!$B$4:$AZ$2000,MATCH(AP31,States!$B$3:$AZ$3,FALSE),FALSE)</f>
        <v>#N/A</v>
      </c>
      <c r="BR31" t="e">
        <f>VLOOKUP($BQ31,'Rep Contact info'!$B$3:$D$400,MATCH(BR$1,'Rep Contact info'!$B$2:$D$2,FALSE),FALSE)</f>
        <v>#N/A</v>
      </c>
      <c r="BS31" t="e">
        <f>VLOOKUP($BQ31,'Rep Contact info'!$B$3:$D$400,MATCH(BS$1,'Rep Contact info'!$B$2:$D$2,FALSE),FALSE)</f>
        <v>#N/A</v>
      </c>
    </row>
    <row r="32" spans="1:71" hidden="1" x14ac:dyDescent="0.35">
      <c r="F32" s="1"/>
      <c r="P32" s="1"/>
      <c r="AZ32" s="2"/>
      <c r="BQ32" t="e">
        <f>VLOOKUP($AY32,States!$B$4:$AZ$2000,MATCH(AP32,States!$B$3:$AZ$3,FALSE),FALSE)</f>
        <v>#N/A</v>
      </c>
      <c r="BR32" t="e">
        <f>VLOOKUP($BQ32,'Rep Contact info'!$B$3:$D$400,MATCH(BR$1,'Rep Contact info'!$B$2:$D$2,FALSE),FALSE)</f>
        <v>#N/A</v>
      </c>
      <c r="BS32" t="e">
        <f>VLOOKUP($BQ32,'Rep Contact info'!$B$3:$D$400,MATCH(BS$1,'Rep Contact info'!$B$2:$D$2,FALSE),FALSE)</f>
        <v>#N/A</v>
      </c>
    </row>
    <row r="33" spans="6:71" hidden="1" x14ac:dyDescent="0.35">
      <c r="P33" s="1"/>
      <c r="BQ33" t="e">
        <f>VLOOKUP($AY33,States!$B$4:$AZ$2000,MATCH(AP33,States!$B$3:$AZ$3,FALSE),FALSE)</f>
        <v>#N/A</v>
      </c>
      <c r="BR33" t="e">
        <f>VLOOKUP($BQ33,'Rep Contact info'!$B$3:$D$400,MATCH(BR$1,'Rep Contact info'!$B$2:$D$2,FALSE),FALSE)</f>
        <v>#N/A</v>
      </c>
      <c r="BS33" t="e">
        <f>VLOOKUP($BQ33,'Rep Contact info'!$B$3:$D$400,MATCH(BS$1,'Rep Contact info'!$B$2:$D$2,FALSE),FALSE)</f>
        <v>#N/A</v>
      </c>
    </row>
    <row r="34" spans="6:71" hidden="1" x14ac:dyDescent="0.35">
      <c r="F34" s="1"/>
      <c r="P34" s="1"/>
      <c r="AZ34" s="2"/>
      <c r="BQ34" t="e">
        <f>VLOOKUP($AY34,States!$B$4:$AZ$2000,MATCH(AP34,States!$B$3:$AZ$3,FALSE),FALSE)</f>
        <v>#N/A</v>
      </c>
      <c r="BR34" t="e">
        <f>VLOOKUP($BQ34,'Rep Contact info'!$B$3:$D$400,MATCH(BR$1,'Rep Contact info'!$B$2:$D$2,FALSE),FALSE)</f>
        <v>#N/A</v>
      </c>
      <c r="BS34" t="e">
        <f>VLOOKUP($BQ34,'Rep Contact info'!$B$3:$D$400,MATCH(BS$1,'Rep Contact info'!$B$2:$D$2,FALSE),FALSE)</f>
        <v>#N/A</v>
      </c>
    </row>
    <row r="35" spans="6:71" hidden="1" x14ac:dyDescent="0.35">
      <c r="P35" s="1"/>
      <c r="BQ35" t="e">
        <f>VLOOKUP($AY35,States!$B$4:$AZ$2000,MATCH(AP35,States!$B$3:$AZ$3,FALSE),FALSE)</f>
        <v>#N/A</v>
      </c>
      <c r="BR35" t="e">
        <f>VLOOKUP($BQ35,'Rep Contact info'!$B$3:$D$400,MATCH(BR$1,'Rep Contact info'!$B$2:$D$2,FALSE),FALSE)</f>
        <v>#N/A</v>
      </c>
      <c r="BS35" t="e">
        <f>VLOOKUP($BQ35,'Rep Contact info'!$B$3:$D$400,MATCH(BS$1,'Rep Contact info'!$B$2:$D$2,FALSE),FALSE)</f>
        <v>#N/A</v>
      </c>
    </row>
    <row r="36" spans="6:71" hidden="1" x14ac:dyDescent="0.35">
      <c r="P36" s="1"/>
      <c r="BQ36" t="e">
        <f>VLOOKUP($AY36,States!$B$4:$AZ$2000,MATCH(AP36,States!$B$3:$AZ$3,FALSE),FALSE)</f>
        <v>#N/A</v>
      </c>
      <c r="BR36" t="e">
        <f>VLOOKUP($BQ36,'Rep Contact info'!$B$3:$D$400,MATCH(BR$1,'Rep Contact info'!$B$2:$D$2,FALSE),FALSE)</f>
        <v>#N/A</v>
      </c>
      <c r="BS36" t="e">
        <f>VLOOKUP($BQ36,'Rep Contact info'!$B$3:$D$400,MATCH(BS$1,'Rep Contact info'!$B$2:$D$2,FALSE),FALSE)</f>
        <v>#N/A</v>
      </c>
    </row>
    <row r="37" spans="6:71" hidden="1" x14ac:dyDescent="0.35">
      <c r="F37" s="1"/>
      <c r="P37" s="1"/>
      <c r="AZ37" s="2"/>
      <c r="BQ37" t="e">
        <f>VLOOKUP($AY37,States!$B$4:$AZ$2000,MATCH(AP37,States!$B$3:$AZ$3,FALSE),FALSE)</f>
        <v>#N/A</v>
      </c>
      <c r="BR37" t="e">
        <f>VLOOKUP($BQ37,'Rep Contact info'!$B$3:$D$400,MATCH(BR$1,'Rep Contact info'!$B$2:$D$2,FALSE),FALSE)</f>
        <v>#N/A</v>
      </c>
      <c r="BS37" t="e">
        <f>VLOOKUP($BQ37,'Rep Contact info'!$B$3:$D$400,MATCH(BS$1,'Rep Contact info'!$B$2:$D$2,FALSE),FALSE)</f>
        <v>#N/A</v>
      </c>
    </row>
    <row r="38" spans="6:71" hidden="1" x14ac:dyDescent="0.35">
      <c r="F38" s="1"/>
      <c r="P38" s="1"/>
      <c r="AZ38" s="2"/>
      <c r="BQ38" t="e">
        <f>VLOOKUP($AY38,States!$B$4:$AZ$2000,MATCH(AP38,States!$B$3:$AZ$3,FALSE),FALSE)</f>
        <v>#N/A</v>
      </c>
      <c r="BR38" t="e">
        <f>VLOOKUP($BQ38,'Rep Contact info'!$B$3:$D$400,MATCH(BR$1,'Rep Contact info'!$B$2:$D$2,FALSE),FALSE)</f>
        <v>#N/A</v>
      </c>
      <c r="BS38" t="e">
        <f>VLOOKUP($BQ38,'Rep Contact info'!$B$3:$D$400,MATCH(BS$1,'Rep Contact info'!$B$2:$D$2,FALSE),FALSE)</f>
        <v>#N/A</v>
      </c>
    </row>
    <row r="39" spans="6:71" hidden="1" x14ac:dyDescent="0.35">
      <c r="F39" s="1"/>
      <c r="P39" s="1"/>
      <c r="AZ39" s="2"/>
      <c r="BQ39" t="e">
        <f>VLOOKUP($AY39,States!$B$4:$AZ$2000,MATCH(AP39,States!$B$3:$AZ$3,FALSE),FALSE)</f>
        <v>#N/A</v>
      </c>
      <c r="BR39" t="e">
        <f>VLOOKUP($BQ39,'Rep Contact info'!$B$3:$D$400,MATCH(BR$1,'Rep Contact info'!$B$2:$D$2,FALSE),FALSE)</f>
        <v>#N/A</v>
      </c>
      <c r="BS39" t="e">
        <f>VLOOKUP($BQ39,'Rep Contact info'!$B$3:$D$400,MATCH(BS$1,'Rep Contact info'!$B$2:$D$2,FALSE),FALSE)</f>
        <v>#N/A</v>
      </c>
    </row>
    <row r="40" spans="6:71" hidden="1" x14ac:dyDescent="0.35">
      <c r="F40" s="1"/>
      <c r="P40" s="1"/>
      <c r="AZ40" s="2"/>
      <c r="BQ40" t="e">
        <f>VLOOKUP($AY40,States!$B$4:$AZ$2000,MATCH(AP40,States!$B$3:$AZ$3,FALSE),FALSE)</f>
        <v>#N/A</v>
      </c>
      <c r="BR40" t="e">
        <f>VLOOKUP($BQ40,'Rep Contact info'!$B$3:$D$400,MATCH(BR$1,'Rep Contact info'!$B$2:$D$2,FALSE),FALSE)</f>
        <v>#N/A</v>
      </c>
      <c r="BS40" t="e">
        <f>VLOOKUP($BQ40,'Rep Contact info'!$B$3:$D$400,MATCH(BS$1,'Rep Contact info'!$B$2:$D$2,FALSE),FALSE)</f>
        <v>#N/A</v>
      </c>
    </row>
    <row r="41" spans="6:71" hidden="1" x14ac:dyDescent="0.35">
      <c r="F41" s="1"/>
      <c r="P41" s="1"/>
      <c r="AZ41" s="2"/>
      <c r="BQ41" t="e">
        <f>VLOOKUP($AY41,States!$B$4:$AZ$2000,MATCH(AP41,States!$B$3:$AZ$3,FALSE),FALSE)</f>
        <v>#N/A</v>
      </c>
      <c r="BR41" t="e">
        <f>VLOOKUP($BQ41,'Rep Contact info'!$B$3:$D$400,MATCH(BR$1,'Rep Contact info'!$B$2:$D$2,FALSE),FALSE)</f>
        <v>#N/A</v>
      </c>
      <c r="BS41" t="e">
        <f>VLOOKUP($BQ41,'Rep Contact info'!$B$3:$D$400,MATCH(BS$1,'Rep Contact info'!$B$2:$D$2,FALSE),FALSE)</f>
        <v>#N/A</v>
      </c>
    </row>
  </sheetData>
  <autoFilter ref="A1:BS41" xr:uid="{00000000-0009-0000-0000-000003000000}">
    <filterColumn colId="70">
      <filters>
        <filter val="grambrog24@gmail.com"/>
      </filters>
    </filterColumn>
  </autoFilter>
  <conditionalFormatting sqref="A2:BS50000">
    <cfRule type="expression" dxfId="1" priority="1">
      <formula>IF($A2="",0,MOD(ROW(),2))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isler">
                <anchor moveWithCells="1" sizeWithCells="1">
                  <from>
                    <xdr:col>71</xdr:col>
                    <xdr:colOff>361950</xdr:colOff>
                    <xdr:row>1</xdr:row>
                    <xdr:rowOff>165100</xdr:rowOff>
                  </from>
                  <to>
                    <xdr:col>73</xdr:col>
                    <xdr:colOff>50800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AED9-992E-4952-8E04-C0832A650583}">
  <sheetPr codeName="Sheet7">
    <tabColor theme="9"/>
  </sheetPr>
  <dimension ref="A1:BS41"/>
  <sheetViews>
    <sheetView showGridLines="0" tabSelected="1" workbookViewId="0">
      <pane ySplit="1" topLeftCell="A2" activePane="bottomLeft" state="frozen"/>
      <selection pane="bottomLeft" activeCell="A9" sqref="A9"/>
    </sheetView>
  </sheetViews>
  <sheetFormatPr defaultRowHeight="14.5" outlineLevelCol="1" x14ac:dyDescent="0.35"/>
  <cols>
    <col min="2" max="2" width="26.26953125" bestFit="1" customWidth="1"/>
    <col min="3" max="3" width="16.1796875" hidden="1" customWidth="1" outlineLevel="1"/>
    <col min="4" max="4" width="8.90625" hidden="1" customWidth="1" outlineLevel="1"/>
    <col min="5" max="5" width="17.81640625" hidden="1" customWidth="1" outlineLevel="1"/>
    <col min="6" max="6" width="15.54296875" hidden="1" customWidth="1" outlineLevel="1"/>
    <col min="7" max="7" width="18.7265625" hidden="1" customWidth="1" outlineLevel="1"/>
    <col min="8" max="8" width="10.54296875" hidden="1" customWidth="1" outlineLevel="1"/>
    <col min="9" max="10" width="10.1796875" hidden="1" customWidth="1" outlineLevel="1"/>
    <col min="11" max="11" width="7.81640625" hidden="1" customWidth="1" outlineLevel="1"/>
    <col min="12" max="12" width="7.36328125" hidden="1" customWidth="1" outlineLevel="1"/>
    <col min="13" max="13" width="15.26953125" hidden="1" customWidth="1" outlineLevel="1"/>
    <col min="14" max="14" width="17.81640625" hidden="1" customWidth="1" outlineLevel="1"/>
    <col min="15" max="15" width="17.453125" hidden="1" customWidth="1" outlineLevel="1"/>
    <col min="16" max="16" width="15.54296875" hidden="1" customWidth="1" outlineLevel="1" collapsed="1"/>
    <col min="17" max="17" width="17.90625" hidden="1" customWidth="1" outlineLevel="1"/>
    <col min="18" max="18" width="22.26953125" bestFit="1" customWidth="1" collapsed="1"/>
    <col min="19" max="19" width="14.81640625" hidden="1" customWidth="1" outlineLevel="1"/>
    <col min="20" max="20" width="25.08984375" hidden="1" customWidth="1" outlineLevel="1"/>
    <col min="21" max="21" width="13.6328125" hidden="1" customWidth="1" outlineLevel="1"/>
    <col min="22" max="22" width="25.36328125" hidden="1" customWidth="1" outlineLevel="1"/>
    <col min="23" max="23" width="17" hidden="1" customWidth="1" outlineLevel="1"/>
    <col min="24" max="24" width="25.26953125" hidden="1" customWidth="1" outlineLevel="1"/>
    <col min="25" max="25" width="14.7265625" hidden="1" customWidth="1" outlineLevel="1" collapsed="1"/>
    <col min="26" max="26" width="14" hidden="1" customWidth="1" outlineLevel="1"/>
    <col min="27" max="28" width="16.26953125" hidden="1" customWidth="1" outlineLevel="1"/>
    <col min="29" max="29" width="16.453125" hidden="1" customWidth="1" outlineLevel="1"/>
    <col min="30" max="30" width="11.6328125" hidden="1" customWidth="1" outlineLevel="1"/>
    <col min="31" max="31" width="11" hidden="1" customWidth="1" outlineLevel="1"/>
    <col min="32" max="32" width="15.7265625" hidden="1" customWidth="1" outlineLevel="1"/>
    <col min="33" max="33" width="15.26953125" hidden="1" customWidth="1" outlineLevel="1"/>
    <col min="34" max="34" width="13.81640625" hidden="1" customWidth="1" outlineLevel="1"/>
    <col min="35" max="35" width="15.6328125" bestFit="1" customWidth="1" collapsed="1"/>
    <col min="36" max="36" width="15.81640625" bestFit="1" customWidth="1"/>
    <col min="37" max="38" width="18.453125" bestFit="1" customWidth="1"/>
    <col min="39" max="39" width="18.6328125" bestFit="1" customWidth="1"/>
    <col min="40" max="40" width="13.81640625" bestFit="1" customWidth="1"/>
    <col min="41" max="41" width="13.1796875" bestFit="1" customWidth="1"/>
    <col min="42" max="42" width="17.90625" bestFit="1" customWidth="1"/>
    <col min="43" max="43" width="17.453125" bestFit="1" customWidth="1"/>
    <col min="44" max="44" width="16.08984375" bestFit="1" customWidth="1"/>
    <col min="45" max="45" width="8" bestFit="1" customWidth="1"/>
    <col min="46" max="46" width="16.26953125" hidden="1" customWidth="1" outlineLevel="1"/>
    <col min="47" max="47" width="13.26953125" hidden="1" customWidth="1" outlineLevel="1"/>
    <col min="48" max="48" width="17.81640625" hidden="1" customWidth="1" outlineLevel="1"/>
    <col min="49" max="49" width="19.54296875" hidden="1" customWidth="1" outlineLevel="1"/>
    <col min="50" max="50" width="18.54296875" hidden="1" customWidth="1" outlineLevel="1"/>
    <col min="51" max="51" width="10.6328125" bestFit="1" customWidth="1" collapsed="1"/>
    <col min="52" max="67" width="9.1796875" hidden="1" customWidth="1" outlineLevel="1"/>
    <col min="68" max="68" width="16.6328125" hidden="1" customWidth="1" outlineLevel="1"/>
    <col min="69" max="69" width="13.26953125" bestFit="1" customWidth="1" collapsed="1"/>
    <col min="70" max="70" width="14.54296875" bestFit="1" customWidth="1"/>
    <col min="71" max="71" width="22.81640625" bestFit="1" customWidth="1"/>
  </cols>
  <sheetData>
    <row r="1" spans="1:71" x14ac:dyDescent="0.35">
      <c r="A1" t="s">
        <v>100</v>
      </c>
      <c r="B1" s="15" t="s">
        <v>101</v>
      </c>
      <c r="C1" s="15" t="s">
        <v>102</v>
      </c>
      <c r="D1" s="15" t="s">
        <v>103</v>
      </c>
      <c r="E1" s="15" t="s">
        <v>104</v>
      </c>
      <c r="F1" s="15" t="s">
        <v>105</v>
      </c>
      <c r="G1" s="15" t="s">
        <v>106</v>
      </c>
      <c r="H1" s="15" t="s">
        <v>107</v>
      </c>
      <c r="I1" s="15" t="s">
        <v>108</v>
      </c>
      <c r="J1" s="15" t="s">
        <v>109</v>
      </c>
      <c r="K1" s="15" t="s">
        <v>110</v>
      </c>
      <c r="L1" s="15" t="s">
        <v>111</v>
      </c>
      <c r="M1" s="15" t="s">
        <v>112</v>
      </c>
      <c r="N1" s="15" t="s">
        <v>113</v>
      </c>
      <c r="O1" s="15" t="s">
        <v>114</v>
      </c>
      <c r="P1" s="15" t="s">
        <v>115</v>
      </c>
      <c r="Q1" s="15" t="s">
        <v>116</v>
      </c>
      <c r="R1" s="15" t="s">
        <v>117</v>
      </c>
      <c r="S1" s="15" t="s">
        <v>118</v>
      </c>
      <c r="T1" s="15" t="s">
        <v>119</v>
      </c>
      <c r="U1" s="15" t="s">
        <v>120</v>
      </c>
      <c r="V1" s="15" t="s">
        <v>121</v>
      </c>
      <c r="W1" s="15" t="s">
        <v>122</v>
      </c>
      <c r="X1" s="15" t="s">
        <v>123</v>
      </c>
      <c r="Y1" s="15" t="s">
        <v>124</v>
      </c>
      <c r="Z1" s="15" t="s">
        <v>125</v>
      </c>
      <c r="AA1" s="15" t="s">
        <v>126</v>
      </c>
      <c r="AB1" s="15" t="s">
        <v>127</v>
      </c>
      <c r="AC1" s="15" t="s">
        <v>128</v>
      </c>
      <c r="AD1" s="15" t="s">
        <v>129</v>
      </c>
      <c r="AE1" s="15" t="s">
        <v>130</v>
      </c>
      <c r="AF1" s="15" t="s">
        <v>131</v>
      </c>
      <c r="AG1" s="15" t="s">
        <v>132</v>
      </c>
      <c r="AH1" s="15" t="s">
        <v>133</v>
      </c>
      <c r="AI1" s="15" t="s">
        <v>134</v>
      </c>
      <c r="AJ1" s="15" t="s">
        <v>135</v>
      </c>
      <c r="AK1" s="15" t="s">
        <v>136</v>
      </c>
      <c r="AL1" s="15" t="s">
        <v>137</v>
      </c>
      <c r="AM1" s="15" t="s">
        <v>138</v>
      </c>
      <c r="AN1" s="15" t="s">
        <v>139</v>
      </c>
      <c r="AO1" s="15" t="s">
        <v>140</v>
      </c>
      <c r="AP1" s="16" t="s">
        <v>141</v>
      </c>
      <c r="AQ1" s="15" t="s">
        <v>142</v>
      </c>
      <c r="AR1" s="15" t="s">
        <v>143</v>
      </c>
      <c r="AS1" s="15" t="s">
        <v>144</v>
      </c>
      <c r="AT1" s="15" t="s">
        <v>145</v>
      </c>
      <c r="AU1" s="15" t="s">
        <v>146</v>
      </c>
      <c r="AV1" s="15" t="s">
        <v>147</v>
      </c>
      <c r="AW1" s="15" t="s">
        <v>148</v>
      </c>
      <c r="AX1" s="15" t="s">
        <v>149</v>
      </c>
      <c r="AY1" s="16" t="s">
        <v>150</v>
      </c>
      <c r="AZ1" s="15" t="s">
        <v>151</v>
      </c>
      <c r="BA1" s="15" t="s">
        <v>152</v>
      </c>
      <c r="BB1" s="15" t="s">
        <v>153</v>
      </c>
      <c r="BC1" s="15" t="s">
        <v>154</v>
      </c>
      <c r="BD1" s="15" t="s">
        <v>155</v>
      </c>
      <c r="BE1" s="15" t="s">
        <v>156</v>
      </c>
      <c r="BF1" s="15" t="s">
        <v>157</v>
      </c>
      <c r="BG1" s="15" t="s">
        <v>158</v>
      </c>
      <c r="BH1" s="15" t="s">
        <v>159</v>
      </c>
      <c r="BI1" s="15" t="s">
        <v>160</v>
      </c>
      <c r="BJ1" s="15" t="s">
        <v>161</v>
      </c>
      <c r="BK1" s="15" t="s">
        <v>162</v>
      </c>
      <c r="BL1" s="15" t="s">
        <v>163</v>
      </c>
      <c r="BM1" s="15" t="s">
        <v>164</v>
      </c>
      <c r="BN1" s="15" t="s">
        <v>165</v>
      </c>
      <c r="BO1" s="15" t="s">
        <v>166</v>
      </c>
      <c r="BP1" s="15" t="s">
        <v>167</v>
      </c>
      <c r="BQ1" s="21" t="s">
        <v>100</v>
      </c>
      <c r="BR1" s="21" t="s">
        <v>279</v>
      </c>
      <c r="BS1" s="21" t="s">
        <v>101</v>
      </c>
    </row>
    <row r="2" spans="1:71" x14ac:dyDescent="0.35">
      <c r="A2" t="s">
        <v>284</v>
      </c>
      <c r="B2" t="s">
        <v>285</v>
      </c>
      <c r="C2" t="s">
        <v>170</v>
      </c>
      <c r="E2" t="s">
        <v>171</v>
      </c>
      <c r="F2" s="1">
        <v>44165.505231481482</v>
      </c>
      <c r="G2" t="s">
        <v>172</v>
      </c>
      <c r="H2" t="s">
        <v>173</v>
      </c>
      <c r="I2">
        <v>0</v>
      </c>
      <c r="J2">
        <v>0</v>
      </c>
      <c r="K2">
        <v>0</v>
      </c>
      <c r="L2">
        <v>0</v>
      </c>
      <c r="N2">
        <v>0</v>
      </c>
      <c r="O2" t="s">
        <v>286</v>
      </c>
      <c r="P2" s="1">
        <v>44155.466724537036</v>
      </c>
      <c r="Q2">
        <v>1</v>
      </c>
      <c r="R2" t="s">
        <v>287</v>
      </c>
      <c r="S2">
        <v>0</v>
      </c>
      <c r="U2">
        <v>12042</v>
      </c>
      <c r="V2" t="b">
        <v>1</v>
      </c>
      <c r="W2" t="b">
        <v>0</v>
      </c>
      <c r="X2" t="s">
        <v>171</v>
      </c>
      <c r="Y2" t="s">
        <v>288</v>
      </c>
      <c r="Z2" t="s">
        <v>289</v>
      </c>
      <c r="AA2" t="s">
        <v>289</v>
      </c>
      <c r="AC2" t="s">
        <v>288</v>
      </c>
      <c r="AD2" t="s">
        <v>290</v>
      </c>
      <c r="AE2" t="s">
        <v>291</v>
      </c>
      <c r="AF2" t="s">
        <v>54</v>
      </c>
      <c r="AG2" t="s">
        <v>183</v>
      </c>
      <c r="AI2" t="s">
        <v>288</v>
      </c>
      <c r="AJ2" t="s">
        <v>289</v>
      </c>
      <c r="AK2" t="s">
        <v>289</v>
      </c>
      <c r="AM2" t="s">
        <v>288</v>
      </c>
      <c r="AN2" t="s">
        <v>290</v>
      </c>
      <c r="AO2" t="s">
        <v>291</v>
      </c>
      <c r="AP2" t="s">
        <v>54</v>
      </c>
      <c r="AQ2" t="s">
        <v>183</v>
      </c>
      <c r="AX2">
        <v>0</v>
      </c>
      <c r="AY2" t="s">
        <v>292</v>
      </c>
      <c r="AZ2">
        <v>3076227465410</v>
      </c>
      <c r="BB2" t="s">
        <v>186</v>
      </c>
      <c r="BC2" t="s">
        <v>187</v>
      </c>
      <c r="BD2">
        <v>0</v>
      </c>
      <c r="BQ2" t="str">
        <f>VLOOKUP($AY2,States!$B$4:$AZ$2000,MATCH(AP2,States!$B$3:$AZ$3,FALSE),FALSE)</f>
        <v>Chris Idema</v>
      </c>
      <c r="BR2" t="str">
        <f>VLOOKUP($BQ2,'Rep Contact info'!$B$3:$D$400,MATCH(BR$1,'Rep Contact info'!$B$2:$D$2,FALSE),FALSE)</f>
        <v>(616) 819-0052</v>
      </c>
      <c r="BS2" t="str">
        <f>VLOOKUP($BQ2,'Rep Contact info'!$B$3:$D$400,MATCH(BS$1,'Rep Contact info'!$B$2:$D$2,FALSE),FALSE)</f>
        <v>chris@samplesavor.com</v>
      </c>
    </row>
    <row r="3" spans="1:71" x14ac:dyDescent="0.35">
      <c r="A3" t="s">
        <v>284</v>
      </c>
      <c r="B3" t="s">
        <v>285</v>
      </c>
      <c r="P3" s="1">
        <v>44155.466724537036</v>
      </c>
      <c r="Q3">
        <v>1</v>
      </c>
      <c r="R3" t="s">
        <v>234</v>
      </c>
      <c r="S3">
        <v>0</v>
      </c>
      <c r="U3">
        <v>500417</v>
      </c>
      <c r="V3" t="b">
        <v>1</v>
      </c>
      <c r="W3" t="b">
        <v>0</v>
      </c>
      <c r="X3" t="s">
        <v>171</v>
      </c>
      <c r="Y3" t="s">
        <v>288</v>
      </c>
      <c r="Z3" t="s">
        <v>289</v>
      </c>
      <c r="AA3" t="s">
        <v>289</v>
      </c>
      <c r="AC3" t="s">
        <v>288</v>
      </c>
      <c r="AD3" t="s">
        <v>290</v>
      </c>
      <c r="AE3" t="s">
        <v>291</v>
      </c>
      <c r="AF3" t="s">
        <v>54</v>
      </c>
      <c r="AG3" t="s">
        <v>183</v>
      </c>
      <c r="AI3" t="s">
        <v>288</v>
      </c>
      <c r="AJ3" t="s">
        <v>289</v>
      </c>
      <c r="AK3" t="s">
        <v>289</v>
      </c>
      <c r="AM3" t="s">
        <v>288</v>
      </c>
      <c r="AN3" t="s">
        <v>290</v>
      </c>
      <c r="AO3" t="s">
        <v>291</v>
      </c>
      <c r="AP3" t="s">
        <v>54</v>
      </c>
      <c r="AQ3" t="s">
        <v>183</v>
      </c>
      <c r="AY3" t="s">
        <v>292</v>
      </c>
      <c r="BD3">
        <v>0</v>
      </c>
      <c r="BQ3" t="str">
        <f>VLOOKUP($AY3,States!$B$4:$AZ$2000,MATCH(AP3,States!$B$3:$AZ$3,FALSE),FALSE)</f>
        <v>Chris Idema</v>
      </c>
      <c r="BR3" t="str">
        <f>VLOOKUP($BQ3,'Rep Contact info'!$B$3:$D$400,MATCH(BR$1,'Rep Contact info'!$B$2:$D$2,FALSE),FALSE)</f>
        <v>(616) 819-0052</v>
      </c>
      <c r="BS3" t="str">
        <f>VLOOKUP($BQ3,'Rep Contact info'!$B$3:$D$400,MATCH(BS$1,'Rep Contact info'!$B$2:$D$2,FALSE),FALSE)</f>
        <v>chris@samplesavor.com</v>
      </c>
    </row>
    <row r="4" spans="1:71" x14ac:dyDescent="0.35">
      <c r="P4" s="1"/>
      <c r="BQ4" t="e">
        <f>VLOOKUP($AY4,States!$B$4:$AZ$2000,MATCH(AP4,States!$B$3:$AZ$3,FALSE),FALSE)</f>
        <v>#N/A</v>
      </c>
      <c r="BR4" t="e">
        <f>VLOOKUP($BQ4,'Rep Contact info'!$B$3:$D$400,MATCH(BR$1,'Rep Contact info'!$B$2:$D$2,FALSE),FALSE)</f>
        <v>#N/A</v>
      </c>
      <c r="BS4" t="e">
        <f>VLOOKUP($BQ4,'Rep Contact info'!$B$3:$D$400,MATCH(BS$1,'Rep Contact info'!$B$2:$D$2,FALSE),FALSE)</f>
        <v>#N/A</v>
      </c>
    </row>
    <row r="5" spans="1:71" x14ac:dyDescent="0.35">
      <c r="P5" s="1"/>
      <c r="BQ5" t="e">
        <f>VLOOKUP($AY5,States!$B$4:$AZ$2000,MATCH(AP5,States!$B$3:$AZ$3,FALSE),FALSE)</f>
        <v>#N/A</v>
      </c>
      <c r="BR5" t="e">
        <f>VLOOKUP($BQ5,'Rep Contact info'!$B$3:$D$400,MATCH(BR$1,'Rep Contact info'!$B$2:$D$2,FALSE),FALSE)</f>
        <v>#N/A</v>
      </c>
      <c r="BS5" t="e">
        <f>VLOOKUP($BQ5,'Rep Contact info'!$B$3:$D$400,MATCH(BS$1,'Rep Contact info'!$B$2:$D$2,FALSE),FALSE)</f>
        <v>#N/A</v>
      </c>
    </row>
    <row r="6" spans="1:71" x14ac:dyDescent="0.35">
      <c r="P6" s="1"/>
      <c r="BQ6" t="e">
        <f>VLOOKUP($AY6,States!$B$4:$AZ$2000,MATCH(AP6,States!$B$3:$AZ$3,FALSE),FALSE)</f>
        <v>#N/A</v>
      </c>
      <c r="BR6" t="e">
        <f>VLOOKUP($BQ6,'Rep Contact info'!$B$3:$D$400,MATCH(BR$1,'Rep Contact info'!$B$2:$D$2,FALSE),FALSE)</f>
        <v>#N/A</v>
      </c>
      <c r="BS6" t="e">
        <f>VLOOKUP($BQ6,'Rep Contact info'!$B$3:$D$400,MATCH(BS$1,'Rep Contact info'!$B$2:$D$2,FALSE),FALSE)</f>
        <v>#N/A</v>
      </c>
    </row>
    <row r="7" spans="1:71" x14ac:dyDescent="0.35">
      <c r="P7" s="1"/>
      <c r="BQ7" t="e">
        <f>VLOOKUP($AY7,States!$B$4:$AZ$2000,MATCH(AP7,States!$B$3:$AZ$3,FALSE),FALSE)</f>
        <v>#N/A</v>
      </c>
      <c r="BR7" t="e">
        <f>VLOOKUP($BQ7,'Rep Contact info'!$B$3:$D$400,MATCH(BR$1,'Rep Contact info'!$B$2:$D$2,FALSE),FALSE)</f>
        <v>#N/A</v>
      </c>
      <c r="BS7" t="e">
        <f>VLOOKUP($BQ7,'Rep Contact info'!$B$3:$D$400,MATCH(BS$1,'Rep Contact info'!$B$2:$D$2,FALSE),FALSE)</f>
        <v>#N/A</v>
      </c>
    </row>
    <row r="8" spans="1:71" x14ac:dyDescent="0.35">
      <c r="P8" s="1"/>
      <c r="BQ8" t="e">
        <f>VLOOKUP($AY8,States!$B$4:$AZ$2000,MATCH(AP8,States!$B$3:$AZ$3,FALSE),FALSE)</f>
        <v>#N/A</v>
      </c>
      <c r="BR8" t="e">
        <f>VLOOKUP($BQ8,'Rep Contact info'!$B$3:$D$400,MATCH(BR$1,'Rep Contact info'!$B$2:$D$2,FALSE),FALSE)</f>
        <v>#N/A</v>
      </c>
      <c r="BS8" t="e">
        <f>VLOOKUP($BQ8,'Rep Contact info'!$B$3:$D$400,MATCH(BS$1,'Rep Contact info'!$B$2:$D$2,FALSE),FALSE)</f>
        <v>#N/A</v>
      </c>
    </row>
    <row r="9" spans="1:71" x14ac:dyDescent="0.35">
      <c r="P9" s="1"/>
      <c r="BQ9" t="e">
        <f>VLOOKUP($AY9,States!$B$4:$AZ$2000,MATCH(AP9,States!$B$3:$AZ$3,FALSE),FALSE)</f>
        <v>#N/A</v>
      </c>
      <c r="BR9" t="e">
        <f>VLOOKUP($BQ9,'Rep Contact info'!$B$3:$D$400,MATCH(BR$1,'Rep Contact info'!$B$2:$D$2,FALSE),FALSE)</f>
        <v>#N/A</v>
      </c>
      <c r="BS9" t="e">
        <f>VLOOKUP($BQ9,'Rep Contact info'!$B$3:$D$400,MATCH(BS$1,'Rep Contact info'!$B$2:$D$2,FALSE),FALSE)</f>
        <v>#N/A</v>
      </c>
    </row>
    <row r="10" spans="1:71" x14ac:dyDescent="0.35">
      <c r="P10" s="1"/>
      <c r="BQ10" t="e">
        <f>VLOOKUP($AY10,States!$B$4:$AZ$2000,MATCH(AP10,States!$B$3:$AZ$3,FALSE),FALSE)</f>
        <v>#N/A</v>
      </c>
      <c r="BR10" t="e">
        <f>VLOOKUP($BQ10,'Rep Contact info'!$B$3:$D$400,MATCH(BR$1,'Rep Contact info'!$B$2:$D$2,FALSE),FALSE)</f>
        <v>#N/A</v>
      </c>
      <c r="BS10" t="e">
        <f>VLOOKUP($BQ10,'Rep Contact info'!$B$3:$D$400,MATCH(BS$1,'Rep Contact info'!$B$2:$D$2,FALSE),FALSE)</f>
        <v>#N/A</v>
      </c>
    </row>
    <row r="11" spans="1:71" x14ac:dyDescent="0.35">
      <c r="P11" s="1"/>
      <c r="BQ11" t="e">
        <f>VLOOKUP($AY11,States!$B$4:$AZ$2000,MATCH(AP11,States!$B$3:$AZ$3,FALSE),FALSE)</f>
        <v>#N/A</v>
      </c>
      <c r="BR11" t="e">
        <f>VLOOKUP($BQ11,'Rep Contact info'!$B$3:$D$400,MATCH(BR$1,'Rep Contact info'!$B$2:$D$2,FALSE),FALSE)</f>
        <v>#N/A</v>
      </c>
      <c r="BS11" t="e">
        <f>VLOOKUP($BQ11,'Rep Contact info'!$B$3:$D$400,MATCH(BS$1,'Rep Contact info'!$B$2:$D$2,FALSE),FALSE)</f>
        <v>#N/A</v>
      </c>
    </row>
    <row r="12" spans="1:71" x14ac:dyDescent="0.35">
      <c r="P12" s="1"/>
      <c r="BQ12" t="e">
        <f>VLOOKUP($AY12,States!$B$4:$AZ$2000,MATCH(AP12,States!$B$3:$AZ$3,FALSE),FALSE)</f>
        <v>#N/A</v>
      </c>
      <c r="BR12" t="e">
        <f>VLOOKUP($BQ12,'Rep Contact info'!$B$3:$D$400,MATCH(BR$1,'Rep Contact info'!$B$2:$D$2,FALSE),FALSE)</f>
        <v>#N/A</v>
      </c>
      <c r="BS12" t="e">
        <f>VLOOKUP($BQ12,'Rep Contact info'!$B$3:$D$400,MATCH(BS$1,'Rep Contact info'!$B$2:$D$2,FALSE),FALSE)</f>
        <v>#N/A</v>
      </c>
    </row>
    <row r="13" spans="1:71" x14ac:dyDescent="0.35">
      <c r="P13" s="1"/>
      <c r="BQ13" t="e">
        <f>VLOOKUP($AY13,States!$B$4:$AZ$2000,MATCH(AP13,States!$B$3:$AZ$3,FALSE),FALSE)</f>
        <v>#N/A</v>
      </c>
      <c r="BR13" t="e">
        <f>VLOOKUP($BQ13,'Rep Contact info'!$B$3:$D$400,MATCH(BR$1,'Rep Contact info'!$B$2:$D$2,FALSE),FALSE)</f>
        <v>#N/A</v>
      </c>
      <c r="BS13" t="e">
        <f>VLOOKUP($BQ13,'Rep Contact info'!$B$3:$D$400,MATCH(BS$1,'Rep Contact info'!$B$2:$D$2,FALSE),FALSE)</f>
        <v>#N/A</v>
      </c>
    </row>
    <row r="14" spans="1:71" x14ac:dyDescent="0.35">
      <c r="P14" s="1"/>
      <c r="BQ14" t="e">
        <f>VLOOKUP($AY14,States!$B$4:$AZ$2000,MATCH(AP14,States!$B$3:$AZ$3,FALSE),FALSE)</f>
        <v>#N/A</v>
      </c>
      <c r="BR14" t="e">
        <f>VLOOKUP($BQ14,'Rep Contact info'!$B$3:$D$400,MATCH(BR$1,'Rep Contact info'!$B$2:$D$2,FALSE),FALSE)</f>
        <v>#N/A</v>
      </c>
      <c r="BS14" t="e">
        <f>VLOOKUP($BQ14,'Rep Contact info'!$B$3:$D$400,MATCH(BS$1,'Rep Contact info'!$B$2:$D$2,FALSE),FALSE)</f>
        <v>#N/A</v>
      </c>
    </row>
    <row r="15" spans="1:71" x14ac:dyDescent="0.35">
      <c r="P15" s="1"/>
      <c r="BQ15" t="e">
        <f>VLOOKUP($AY15,States!$B$4:$AZ$2000,MATCH(AP15,States!$B$3:$AZ$3,FALSE),FALSE)</f>
        <v>#N/A</v>
      </c>
      <c r="BR15" t="e">
        <f>VLOOKUP($BQ15,'Rep Contact info'!$B$3:$D$400,MATCH(BR$1,'Rep Contact info'!$B$2:$D$2,FALSE),FALSE)</f>
        <v>#N/A</v>
      </c>
      <c r="BS15" t="e">
        <f>VLOOKUP($BQ15,'Rep Contact info'!$B$3:$D$400,MATCH(BS$1,'Rep Contact info'!$B$2:$D$2,FALSE),FALSE)</f>
        <v>#N/A</v>
      </c>
    </row>
    <row r="16" spans="1:71" x14ac:dyDescent="0.35">
      <c r="P16" s="1"/>
      <c r="BQ16" t="e">
        <f>VLOOKUP($AY16,States!$B$4:$AZ$2000,MATCH(AP16,States!$B$3:$AZ$3,FALSE),FALSE)</f>
        <v>#N/A</v>
      </c>
      <c r="BR16" t="e">
        <f>VLOOKUP($BQ16,'Rep Contact info'!$B$3:$D$400,MATCH(BR$1,'Rep Contact info'!$B$2:$D$2,FALSE),FALSE)</f>
        <v>#N/A</v>
      </c>
      <c r="BS16" t="e">
        <f>VLOOKUP($BQ16,'Rep Contact info'!$B$3:$D$400,MATCH(BS$1,'Rep Contact info'!$B$2:$D$2,FALSE),FALSE)</f>
        <v>#N/A</v>
      </c>
    </row>
    <row r="17" spans="6:71" x14ac:dyDescent="0.35">
      <c r="P17" s="1"/>
      <c r="BQ17" t="e">
        <f>VLOOKUP($AY17,States!$B$4:$AZ$2000,MATCH(AP17,States!$B$3:$AZ$3,FALSE),FALSE)</f>
        <v>#N/A</v>
      </c>
      <c r="BR17" t="e">
        <f>VLOOKUP($BQ17,'Rep Contact info'!$B$3:$D$400,MATCH(BR$1,'Rep Contact info'!$B$2:$D$2,FALSE),FALSE)</f>
        <v>#N/A</v>
      </c>
      <c r="BS17" t="e">
        <f>VLOOKUP($BQ17,'Rep Contact info'!$B$3:$D$400,MATCH(BS$1,'Rep Contact info'!$B$2:$D$2,FALSE),FALSE)</f>
        <v>#N/A</v>
      </c>
    </row>
    <row r="18" spans="6:71" x14ac:dyDescent="0.35">
      <c r="P18" s="1"/>
      <c r="BQ18" t="e">
        <f>VLOOKUP($AY18,States!$B$4:$AZ$2000,MATCH(AP18,States!$B$3:$AZ$3,FALSE),FALSE)</f>
        <v>#N/A</v>
      </c>
      <c r="BR18" t="e">
        <f>VLOOKUP($BQ18,'Rep Contact info'!$B$3:$D$400,MATCH(BR$1,'Rep Contact info'!$B$2:$D$2,FALSE),FALSE)</f>
        <v>#N/A</v>
      </c>
      <c r="BS18" t="e">
        <f>VLOOKUP($BQ18,'Rep Contact info'!$B$3:$D$400,MATCH(BS$1,'Rep Contact info'!$B$2:$D$2,FALSE),FALSE)</f>
        <v>#N/A</v>
      </c>
    </row>
    <row r="19" spans="6:71" x14ac:dyDescent="0.35">
      <c r="P19" s="1"/>
      <c r="BQ19" t="e">
        <f>VLOOKUP($AY19,States!$B$4:$AZ$2000,MATCH(AP19,States!$B$3:$AZ$3,FALSE),FALSE)</f>
        <v>#N/A</v>
      </c>
      <c r="BR19" t="e">
        <f>VLOOKUP($BQ19,'Rep Contact info'!$B$3:$D$400,MATCH(BR$1,'Rep Contact info'!$B$2:$D$2,FALSE),FALSE)</f>
        <v>#N/A</v>
      </c>
      <c r="BS19" t="e">
        <f>VLOOKUP($BQ19,'Rep Contact info'!$B$3:$D$400,MATCH(BS$1,'Rep Contact info'!$B$2:$D$2,FALSE),FALSE)</f>
        <v>#N/A</v>
      </c>
    </row>
    <row r="20" spans="6:71" x14ac:dyDescent="0.35">
      <c r="P20" s="1"/>
      <c r="BQ20" t="e">
        <f>VLOOKUP($AY20,States!$B$4:$AZ$2000,MATCH(AP20,States!$B$3:$AZ$3,FALSE),FALSE)</f>
        <v>#N/A</v>
      </c>
      <c r="BR20" t="e">
        <f>VLOOKUP($BQ20,'Rep Contact info'!$B$3:$D$400,MATCH(BR$1,'Rep Contact info'!$B$2:$D$2,FALSE),FALSE)</f>
        <v>#N/A</v>
      </c>
      <c r="BS20" t="e">
        <f>VLOOKUP($BQ20,'Rep Contact info'!$B$3:$D$400,MATCH(BS$1,'Rep Contact info'!$B$2:$D$2,FALSE),FALSE)</f>
        <v>#N/A</v>
      </c>
    </row>
    <row r="21" spans="6:71" x14ac:dyDescent="0.35">
      <c r="F21" s="1"/>
      <c r="P21" s="1"/>
      <c r="AZ21" s="2"/>
      <c r="BQ21" t="e">
        <f>VLOOKUP($AY21,States!$B$4:$AZ$2000,MATCH(AP21,States!$B$3:$AZ$3,FALSE),FALSE)</f>
        <v>#N/A</v>
      </c>
      <c r="BR21" t="e">
        <f>VLOOKUP($BQ21,'Rep Contact info'!$B$3:$D$400,MATCH(BR$1,'Rep Contact info'!$B$2:$D$2,FALSE),FALSE)</f>
        <v>#N/A</v>
      </c>
      <c r="BS21" t="e">
        <f>VLOOKUP($BQ21,'Rep Contact info'!$B$3:$D$400,MATCH(BS$1,'Rep Contact info'!$B$2:$D$2,FALSE),FALSE)</f>
        <v>#N/A</v>
      </c>
    </row>
    <row r="22" spans="6:71" x14ac:dyDescent="0.35">
      <c r="P22" s="1"/>
      <c r="BQ22" t="e">
        <f>VLOOKUP($AY22,States!$B$4:$AZ$2000,MATCH(AP22,States!$B$3:$AZ$3,FALSE),FALSE)</f>
        <v>#N/A</v>
      </c>
      <c r="BR22" t="e">
        <f>VLOOKUP($BQ22,'Rep Contact info'!$B$3:$D$400,MATCH(BR$1,'Rep Contact info'!$B$2:$D$2,FALSE),FALSE)</f>
        <v>#N/A</v>
      </c>
      <c r="BS22" t="e">
        <f>VLOOKUP($BQ22,'Rep Contact info'!$B$3:$D$400,MATCH(BS$1,'Rep Contact info'!$B$2:$D$2,FALSE),FALSE)</f>
        <v>#N/A</v>
      </c>
    </row>
    <row r="23" spans="6:71" x14ac:dyDescent="0.35">
      <c r="F23" s="1"/>
      <c r="P23" s="1"/>
      <c r="AZ23" s="2"/>
      <c r="BQ23" t="e">
        <f>VLOOKUP($AY23,States!$B$4:$AZ$2000,MATCH(AP23,States!$B$3:$AZ$3,FALSE),FALSE)</f>
        <v>#N/A</v>
      </c>
      <c r="BR23" t="e">
        <f>VLOOKUP($BQ23,'Rep Contact info'!$B$3:$D$400,MATCH(BR$1,'Rep Contact info'!$B$2:$D$2,FALSE),FALSE)</f>
        <v>#N/A</v>
      </c>
      <c r="BS23" t="e">
        <f>VLOOKUP($BQ23,'Rep Contact info'!$B$3:$D$400,MATCH(BS$1,'Rep Contact info'!$B$2:$D$2,FALSE),FALSE)</f>
        <v>#N/A</v>
      </c>
    </row>
    <row r="24" spans="6:71" x14ac:dyDescent="0.35">
      <c r="P24" s="1"/>
      <c r="BQ24" t="e">
        <f>VLOOKUP($AY24,States!$B$4:$AZ$2000,MATCH(AP24,States!$B$3:$AZ$3,FALSE),FALSE)</f>
        <v>#N/A</v>
      </c>
      <c r="BR24" t="e">
        <f>VLOOKUP($BQ24,'Rep Contact info'!$B$3:$D$400,MATCH(BR$1,'Rep Contact info'!$B$2:$D$2,FALSE),FALSE)</f>
        <v>#N/A</v>
      </c>
      <c r="BS24" t="e">
        <f>VLOOKUP($BQ24,'Rep Contact info'!$B$3:$D$400,MATCH(BS$1,'Rep Contact info'!$B$2:$D$2,FALSE),FALSE)</f>
        <v>#N/A</v>
      </c>
    </row>
    <row r="25" spans="6:71" x14ac:dyDescent="0.35">
      <c r="F25" s="1"/>
      <c r="P25" s="1"/>
      <c r="AZ25" s="2"/>
      <c r="BQ25" t="e">
        <f>VLOOKUP($AY25,States!$B$4:$AZ$2000,MATCH(AP25,States!$B$3:$AZ$3,FALSE),FALSE)</f>
        <v>#N/A</v>
      </c>
      <c r="BR25" t="e">
        <f>VLOOKUP($BQ25,'Rep Contact info'!$B$3:$D$400,MATCH(BR$1,'Rep Contact info'!$B$2:$D$2,FALSE),FALSE)</f>
        <v>#N/A</v>
      </c>
      <c r="BS25" t="e">
        <f>VLOOKUP($BQ25,'Rep Contact info'!$B$3:$D$400,MATCH(BS$1,'Rep Contact info'!$B$2:$D$2,FALSE),FALSE)</f>
        <v>#N/A</v>
      </c>
    </row>
    <row r="26" spans="6:71" x14ac:dyDescent="0.35">
      <c r="P26" s="1"/>
      <c r="BQ26" t="e">
        <f>VLOOKUP($AY26,States!$B$4:$AZ$2000,MATCH(AP26,States!$B$3:$AZ$3,FALSE),FALSE)</f>
        <v>#N/A</v>
      </c>
      <c r="BR26" t="e">
        <f>VLOOKUP($BQ26,'Rep Contact info'!$B$3:$D$400,MATCH(BR$1,'Rep Contact info'!$B$2:$D$2,FALSE),FALSE)</f>
        <v>#N/A</v>
      </c>
      <c r="BS26" t="e">
        <f>VLOOKUP($BQ26,'Rep Contact info'!$B$3:$D$400,MATCH(BS$1,'Rep Contact info'!$B$2:$D$2,FALSE),FALSE)</f>
        <v>#N/A</v>
      </c>
    </row>
    <row r="27" spans="6:71" x14ac:dyDescent="0.35">
      <c r="F27" s="1"/>
      <c r="P27" s="1"/>
      <c r="AZ27" s="2"/>
      <c r="BQ27" t="e">
        <f>VLOOKUP($AY27,States!$B$4:$AZ$2000,MATCH(AP27,States!$B$3:$AZ$3,FALSE),FALSE)</f>
        <v>#N/A</v>
      </c>
      <c r="BR27" t="e">
        <f>VLOOKUP($BQ27,'Rep Contact info'!$B$3:$D$400,MATCH(BR$1,'Rep Contact info'!$B$2:$D$2,FALSE),FALSE)</f>
        <v>#N/A</v>
      </c>
      <c r="BS27" t="e">
        <f>VLOOKUP($BQ27,'Rep Contact info'!$B$3:$D$400,MATCH(BS$1,'Rep Contact info'!$B$2:$D$2,FALSE),FALSE)</f>
        <v>#N/A</v>
      </c>
    </row>
    <row r="28" spans="6:71" x14ac:dyDescent="0.35">
      <c r="P28" s="1"/>
      <c r="BQ28" t="e">
        <f>VLOOKUP($AY28,States!$B$4:$AZ$2000,MATCH(AP28,States!$B$3:$AZ$3,FALSE),FALSE)</f>
        <v>#N/A</v>
      </c>
      <c r="BR28" t="e">
        <f>VLOOKUP($BQ28,'Rep Contact info'!$B$3:$D$400,MATCH(BR$1,'Rep Contact info'!$B$2:$D$2,FALSE),FALSE)</f>
        <v>#N/A</v>
      </c>
      <c r="BS28" t="e">
        <f>VLOOKUP($BQ28,'Rep Contact info'!$B$3:$D$400,MATCH(BS$1,'Rep Contact info'!$B$2:$D$2,FALSE),FALSE)</f>
        <v>#N/A</v>
      </c>
    </row>
    <row r="29" spans="6:71" x14ac:dyDescent="0.35">
      <c r="P29" s="1"/>
      <c r="BQ29" t="e">
        <f>VLOOKUP($AY29,States!$B$4:$AZ$2000,MATCH(AP29,States!$B$3:$AZ$3,FALSE),FALSE)</f>
        <v>#N/A</v>
      </c>
      <c r="BR29" t="e">
        <f>VLOOKUP($BQ29,'Rep Contact info'!$B$3:$D$400,MATCH(BR$1,'Rep Contact info'!$B$2:$D$2,FALSE),FALSE)</f>
        <v>#N/A</v>
      </c>
      <c r="BS29" t="e">
        <f>VLOOKUP($BQ29,'Rep Contact info'!$B$3:$D$400,MATCH(BS$1,'Rep Contact info'!$B$2:$D$2,FALSE),FALSE)</f>
        <v>#N/A</v>
      </c>
    </row>
    <row r="30" spans="6:71" x14ac:dyDescent="0.35">
      <c r="F30" s="1"/>
      <c r="P30" s="1"/>
      <c r="AZ30" s="2"/>
      <c r="BQ30" t="e">
        <f>VLOOKUP($AY30,States!$B$4:$AZ$2000,MATCH(AP30,States!$B$3:$AZ$3,FALSE),FALSE)</f>
        <v>#N/A</v>
      </c>
      <c r="BR30" t="e">
        <f>VLOOKUP($BQ30,'Rep Contact info'!$B$3:$D$400,MATCH(BR$1,'Rep Contact info'!$B$2:$D$2,FALSE),FALSE)</f>
        <v>#N/A</v>
      </c>
      <c r="BS30" t="e">
        <f>VLOOKUP($BQ30,'Rep Contact info'!$B$3:$D$400,MATCH(BS$1,'Rep Contact info'!$B$2:$D$2,FALSE),FALSE)</f>
        <v>#N/A</v>
      </c>
    </row>
    <row r="31" spans="6:71" x14ac:dyDescent="0.35">
      <c r="F31" s="1"/>
      <c r="P31" s="1"/>
      <c r="AZ31" s="2"/>
      <c r="BQ31" t="e">
        <f>VLOOKUP($AY31,States!$B$4:$AZ$2000,MATCH(AP31,States!$B$3:$AZ$3,FALSE),FALSE)</f>
        <v>#N/A</v>
      </c>
      <c r="BR31" t="e">
        <f>VLOOKUP($BQ31,'Rep Contact info'!$B$3:$D$400,MATCH(BR$1,'Rep Contact info'!$B$2:$D$2,FALSE),FALSE)</f>
        <v>#N/A</v>
      </c>
      <c r="BS31" t="e">
        <f>VLOOKUP($BQ31,'Rep Contact info'!$B$3:$D$400,MATCH(BS$1,'Rep Contact info'!$B$2:$D$2,FALSE),FALSE)</f>
        <v>#N/A</v>
      </c>
    </row>
    <row r="32" spans="6:71" x14ac:dyDescent="0.35">
      <c r="F32" s="1"/>
      <c r="P32" s="1"/>
      <c r="AZ32" s="2"/>
      <c r="BQ32" t="e">
        <f>VLOOKUP($AY32,States!$B$4:$AZ$2000,MATCH(AP32,States!$B$3:$AZ$3,FALSE),FALSE)</f>
        <v>#N/A</v>
      </c>
      <c r="BR32" t="e">
        <f>VLOOKUP($BQ32,'Rep Contact info'!$B$3:$D$400,MATCH(BR$1,'Rep Contact info'!$B$2:$D$2,FALSE),FALSE)</f>
        <v>#N/A</v>
      </c>
      <c r="BS32" t="e">
        <f>VLOOKUP($BQ32,'Rep Contact info'!$B$3:$D$400,MATCH(BS$1,'Rep Contact info'!$B$2:$D$2,FALSE),FALSE)</f>
        <v>#N/A</v>
      </c>
    </row>
    <row r="33" spans="6:71" x14ac:dyDescent="0.35">
      <c r="P33" s="1"/>
      <c r="BQ33" t="e">
        <f>VLOOKUP($AY33,States!$B$4:$AZ$2000,MATCH(AP33,States!$B$3:$AZ$3,FALSE),FALSE)</f>
        <v>#N/A</v>
      </c>
      <c r="BR33" t="e">
        <f>VLOOKUP($BQ33,'Rep Contact info'!$B$3:$D$400,MATCH(BR$1,'Rep Contact info'!$B$2:$D$2,FALSE),FALSE)</f>
        <v>#N/A</v>
      </c>
      <c r="BS33" t="e">
        <f>VLOOKUP($BQ33,'Rep Contact info'!$B$3:$D$400,MATCH(BS$1,'Rep Contact info'!$B$2:$D$2,FALSE),FALSE)</f>
        <v>#N/A</v>
      </c>
    </row>
    <row r="34" spans="6:71" x14ac:dyDescent="0.35">
      <c r="F34" s="1"/>
      <c r="P34" s="1"/>
      <c r="AZ34" s="2"/>
      <c r="BQ34" t="e">
        <f>VLOOKUP($AY34,States!$B$4:$AZ$2000,MATCH(AP34,States!$B$3:$AZ$3,FALSE),FALSE)</f>
        <v>#N/A</v>
      </c>
      <c r="BR34" t="e">
        <f>VLOOKUP($BQ34,'Rep Contact info'!$B$3:$D$400,MATCH(BR$1,'Rep Contact info'!$B$2:$D$2,FALSE),FALSE)</f>
        <v>#N/A</v>
      </c>
      <c r="BS34" t="e">
        <f>VLOOKUP($BQ34,'Rep Contact info'!$B$3:$D$400,MATCH(BS$1,'Rep Contact info'!$B$2:$D$2,FALSE),FALSE)</f>
        <v>#N/A</v>
      </c>
    </row>
    <row r="35" spans="6:71" x14ac:dyDescent="0.35">
      <c r="P35" s="1"/>
      <c r="BQ35" t="e">
        <f>VLOOKUP($AY35,States!$B$4:$AZ$2000,MATCH(AP35,States!$B$3:$AZ$3,FALSE),FALSE)</f>
        <v>#N/A</v>
      </c>
      <c r="BR35" t="e">
        <f>VLOOKUP($BQ35,'Rep Contact info'!$B$3:$D$400,MATCH(BR$1,'Rep Contact info'!$B$2:$D$2,FALSE),FALSE)</f>
        <v>#N/A</v>
      </c>
      <c r="BS35" t="e">
        <f>VLOOKUP($BQ35,'Rep Contact info'!$B$3:$D$400,MATCH(BS$1,'Rep Contact info'!$B$2:$D$2,FALSE),FALSE)</f>
        <v>#N/A</v>
      </c>
    </row>
    <row r="36" spans="6:71" x14ac:dyDescent="0.35">
      <c r="P36" s="1"/>
      <c r="BQ36" t="e">
        <f>VLOOKUP($AY36,States!$B$4:$AZ$2000,MATCH(AP36,States!$B$3:$AZ$3,FALSE),FALSE)</f>
        <v>#N/A</v>
      </c>
      <c r="BR36" t="e">
        <f>VLOOKUP($BQ36,'Rep Contact info'!$B$3:$D$400,MATCH(BR$1,'Rep Contact info'!$B$2:$D$2,FALSE),FALSE)</f>
        <v>#N/A</v>
      </c>
      <c r="BS36" t="e">
        <f>VLOOKUP($BQ36,'Rep Contact info'!$B$3:$D$400,MATCH(BS$1,'Rep Contact info'!$B$2:$D$2,FALSE),FALSE)</f>
        <v>#N/A</v>
      </c>
    </row>
    <row r="37" spans="6:71" x14ac:dyDescent="0.35">
      <c r="F37" s="1"/>
      <c r="P37" s="1"/>
      <c r="AZ37" s="2"/>
      <c r="BQ37" t="e">
        <f>VLOOKUP($AY37,States!$B$4:$AZ$2000,MATCH(AP37,States!$B$3:$AZ$3,FALSE),FALSE)</f>
        <v>#N/A</v>
      </c>
      <c r="BR37" t="e">
        <f>VLOOKUP($BQ37,'Rep Contact info'!$B$3:$D$400,MATCH(BR$1,'Rep Contact info'!$B$2:$D$2,FALSE),FALSE)</f>
        <v>#N/A</v>
      </c>
      <c r="BS37" t="e">
        <f>VLOOKUP($BQ37,'Rep Contact info'!$B$3:$D$400,MATCH(BS$1,'Rep Contact info'!$B$2:$D$2,FALSE),FALSE)</f>
        <v>#N/A</v>
      </c>
    </row>
    <row r="38" spans="6:71" x14ac:dyDescent="0.35">
      <c r="F38" s="1"/>
      <c r="P38" s="1"/>
      <c r="AZ38" s="2"/>
      <c r="BQ38" t="e">
        <f>VLOOKUP($AY38,States!$B$4:$AZ$2000,MATCH(AP38,States!$B$3:$AZ$3,FALSE),FALSE)</f>
        <v>#N/A</v>
      </c>
      <c r="BR38" t="e">
        <f>VLOOKUP($BQ38,'Rep Contact info'!$B$3:$D$400,MATCH(BR$1,'Rep Contact info'!$B$2:$D$2,FALSE),FALSE)</f>
        <v>#N/A</v>
      </c>
      <c r="BS38" t="e">
        <f>VLOOKUP($BQ38,'Rep Contact info'!$B$3:$D$400,MATCH(BS$1,'Rep Contact info'!$B$2:$D$2,FALSE),FALSE)</f>
        <v>#N/A</v>
      </c>
    </row>
    <row r="39" spans="6:71" x14ac:dyDescent="0.35">
      <c r="F39" s="1"/>
      <c r="P39" s="1"/>
      <c r="AZ39" s="2"/>
      <c r="BQ39" t="e">
        <f>VLOOKUP($AY39,States!$B$4:$AZ$2000,MATCH(AP39,States!$B$3:$AZ$3,FALSE),FALSE)</f>
        <v>#N/A</v>
      </c>
      <c r="BR39" t="e">
        <f>VLOOKUP($BQ39,'Rep Contact info'!$B$3:$D$400,MATCH(BR$1,'Rep Contact info'!$B$2:$D$2,FALSE),FALSE)</f>
        <v>#N/A</v>
      </c>
      <c r="BS39" t="e">
        <f>VLOOKUP($BQ39,'Rep Contact info'!$B$3:$D$400,MATCH(BS$1,'Rep Contact info'!$B$2:$D$2,FALSE),FALSE)</f>
        <v>#N/A</v>
      </c>
    </row>
    <row r="40" spans="6:71" x14ac:dyDescent="0.35">
      <c r="F40" s="1"/>
      <c r="P40" s="1"/>
      <c r="AZ40" s="2"/>
      <c r="BQ40" t="e">
        <f>VLOOKUP($AY40,States!$B$4:$AZ$2000,MATCH(AP40,States!$B$3:$AZ$3,FALSE),FALSE)</f>
        <v>#N/A</v>
      </c>
      <c r="BR40" t="e">
        <f>VLOOKUP($BQ40,'Rep Contact info'!$B$3:$D$400,MATCH(BR$1,'Rep Contact info'!$B$2:$D$2,FALSE),FALSE)</f>
        <v>#N/A</v>
      </c>
      <c r="BS40" t="e">
        <f>VLOOKUP($BQ40,'Rep Contact info'!$B$3:$D$400,MATCH(BS$1,'Rep Contact info'!$B$2:$D$2,FALSE),FALSE)</f>
        <v>#N/A</v>
      </c>
    </row>
    <row r="41" spans="6:71" x14ac:dyDescent="0.35">
      <c r="F41" s="1"/>
      <c r="P41" s="1"/>
      <c r="AZ41" s="2"/>
      <c r="BQ41" t="e">
        <f>VLOOKUP($AY41,States!$B$4:$AZ$2000,MATCH(AP41,States!$B$3:$AZ$3,FALSE),FALSE)</f>
        <v>#N/A</v>
      </c>
      <c r="BR41" t="e">
        <f>VLOOKUP($BQ41,'Rep Contact info'!$B$3:$D$400,MATCH(BR$1,'Rep Contact info'!$B$2:$D$2,FALSE),FALSE)</f>
        <v>#N/A</v>
      </c>
      <c r="BS41" t="e">
        <f>VLOOKUP($BQ41,'Rep Contact info'!$B$3:$D$400,MATCH(BS$1,'Rep Contact info'!$B$2:$D$2,FALSE),FALSE)</f>
        <v>#N/A</v>
      </c>
    </row>
  </sheetData>
  <autoFilter ref="A1:BS41" xr:uid="{00000000-0009-0000-0000-000003000000}"/>
  <conditionalFormatting sqref="A2:BS50000">
    <cfRule type="expression" dxfId="0" priority="1">
      <formula>IF($A2="",0,MOD(ROW(),2))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isler">
                <anchor moveWithCells="1" sizeWithCells="1">
                  <from>
                    <xdr:col>71</xdr:col>
                    <xdr:colOff>361950</xdr:colOff>
                    <xdr:row>1</xdr:row>
                    <xdr:rowOff>165100</xdr:rowOff>
                  </from>
                  <to>
                    <xdr:col>73</xdr:col>
                    <xdr:colOff>50800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Rep Contact info</vt:lpstr>
      <vt:lpstr>States</vt:lpstr>
      <vt:lpstr>DataDrop</vt:lpstr>
      <vt:lpstr>Master Template</vt:lpstr>
      <vt:lpstr>8-27-2020</vt:lpstr>
      <vt:lpstr>8-28-2020</vt:lpstr>
      <vt:lpstr>11-30-2020</vt:lpstr>
      <vt:lpstr>Reps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Ambrogi</dc:creator>
  <cp:lastModifiedBy>Chris Idema</cp:lastModifiedBy>
  <dcterms:created xsi:type="dcterms:W3CDTF">2020-08-27T14:49:32Z</dcterms:created>
  <dcterms:modified xsi:type="dcterms:W3CDTF">2020-11-30T17:45:11Z</dcterms:modified>
</cp:coreProperties>
</file>